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认缴流量表" sheetId="1" state="visible" r:id="rId1"/>
    <sheet xmlns:r="http://schemas.openxmlformats.org/officeDocument/2006/relationships" name="股权结构存量表" sheetId="2" state="visible" r:id="rId2"/>
    <sheet xmlns:r="http://schemas.openxmlformats.org/officeDocument/2006/relationships" name="Cross-check校验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60" customWidth="1" min="12" max="12"/>
  </cols>
  <sheetData>
    <row r="1">
      <c r="A1" s="1" t="inlineStr">
        <is>
          <t>序号</t>
        </is>
      </c>
      <c r="B1" s="1" t="inlineStr">
        <is>
          <t>时点</t>
        </is>
      </c>
      <c r="C1" s="1" t="inlineStr">
        <is>
          <t>日期</t>
        </is>
      </c>
      <c r="D1" s="1" t="inlineStr">
        <is>
          <t>事件类型</t>
        </is>
      </c>
      <c r="E1" s="1" t="inlineStr">
        <is>
          <t>投资者名称</t>
        </is>
      </c>
      <c r="F1" s="1" t="inlineStr">
        <is>
          <t>投资者类型</t>
        </is>
      </c>
      <c r="G1" s="1" t="inlineStr">
        <is>
          <t>认缴数量(万股)</t>
        </is>
      </c>
      <c r="H1" s="1" t="inlineStr">
        <is>
          <t>认缴金额(万元)</t>
        </is>
      </c>
      <c r="I1" s="1" t="inlineStr">
        <is>
          <t>认缴价格(元/股)</t>
        </is>
      </c>
      <c r="J1" s="1" t="inlineStr">
        <is>
          <t>出资方式</t>
        </is>
      </c>
      <c r="K1" s="1" t="inlineStr">
        <is>
          <t>PDF页码</t>
        </is>
      </c>
      <c r="L1" s="1" t="inlineStr">
        <is>
          <t>证据文本</t>
        </is>
      </c>
    </row>
    <row r="2">
      <c r="A2" s="2" t="n">
        <v>1</v>
      </c>
      <c r="B2" s="2" t="inlineStr"/>
      <c r="C2" s="2" t="inlineStr">
        <is>
          <t>2019-12-04</t>
        </is>
      </c>
      <c r="D2" s="2" t="inlineStr">
        <is>
          <t>增资</t>
        </is>
      </c>
      <c r="E2" s="2" t="inlineStr">
        <is>
          <t>三联合伙</t>
        </is>
      </c>
      <c r="F2" s="2" t="inlineStr">
        <is>
          <t>员工持股平台</t>
        </is>
      </c>
      <c r="G2" s="2" t="n">
        <v>348</v>
      </c>
      <c r="H2" s="2" t="n">
        <v>1566</v>
      </c>
      <c r="I2" s="2" t="n">
        <v>4.5</v>
      </c>
      <c r="J2" s="2" t="inlineStr">
        <is>
          <t>人民币</t>
        </is>
      </c>
      <c r="K2" s="2" t="inlineStr"/>
      <c r="L2" s="3" t="inlineStr">
        <is>
          <t>2019年12月4日，公司召开2019年第二次临时股东大会，审议通过《关于公司增资扩股的议案》，拟将注册资本由8,150万元增加至8,498万元。新增注册资本由新股东三联合伙以每股4.50元的价格认购，其中348万元计入注册资本，剩余1,218万元计入资本公积</t>
        </is>
      </c>
    </row>
    <row r="3">
      <c r="A3" s="4" t="inlineStr">
        <is>
          <t>合计</t>
        </is>
      </c>
      <c r="B3" s="5" t="n"/>
      <c r="C3" s="5" t="n"/>
      <c r="D3" s="5" t="n"/>
      <c r="E3" s="5" t="n"/>
      <c r="F3" s="5" t="n"/>
      <c r="G3" s="4">
        <f>SUM(G2:G2)</f>
        <v/>
      </c>
      <c r="H3" s="4">
        <f>SUM(H2:H2)</f>
        <v/>
      </c>
      <c r="I3" s="5" t="n"/>
      <c r="J3" s="5" t="n"/>
      <c r="K3" s="5" t="n"/>
      <c r="L3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60" customWidth="1" min="8" max="8"/>
  </cols>
  <sheetData>
    <row r="1">
      <c r="A1" s="6" t="inlineStr">
        <is>
          <t>t0|报告期初  (2019-01-01)  总股本: 8150.0 万股</t>
        </is>
      </c>
    </row>
    <row r="2">
      <c r="A2" s="1" t="inlineStr">
        <is>
          <t>序号</t>
        </is>
      </c>
      <c r="B2" s="1" t="inlineStr">
        <is>
          <t>股东名称</t>
        </is>
      </c>
      <c r="C2" s="1" t="inlineStr">
        <is>
          <t>持股数(万股)</t>
        </is>
      </c>
      <c r="D2" s="1" t="inlineStr">
        <is>
          <t>出资额(万元注册资本)</t>
        </is>
      </c>
      <c r="E2" s="1" t="inlineStr">
        <is>
          <t>持股比例(%)</t>
        </is>
      </c>
      <c r="F2" s="1" t="inlineStr">
        <is>
          <t>股东类型</t>
        </is>
      </c>
      <c r="G2" s="1" t="inlineStr">
        <is>
          <t>PDF页码</t>
        </is>
      </c>
      <c r="H2" s="1" t="inlineStr">
        <is>
          <t>证据文本</t>
        </is>
      </c>
    </row>
    <row r="3">
      <c r="A3" s="2" t="n">
        <v>1</v>
      </c>
      <c r="B3" s="2" t="inlineStr">
        <is>
          <t>孙国奉</t>
        </is>
      </c>
      <c r="C3" s="2" t="n">
        <v>2287</v>
      </c>
      <c r="D3" s="2" t="inlineStr"/>
      <c r="E3" s="2" t="n">
        <v>28.06</v>
      </c>
      <c r="F3" s="2" t="inlineStr">
        <is>
          <t>自然人</t>
        </is>
      </c>
      <c r="G3" s="2" t="inlineStr"/>
      <c r="H3" s="3" t="inlineStr">
        <is>
          <t>报告期期初股本和股东情况：孙国奉2,287万股(28.06%)、张一衡2,275万股(27.91%)、孙国敏2,275万股(27.91%)、高新同华1,150万股(14.11%)、孙仁豪163万股(2.00%)，合计8,150万股</t>
        </is>
      </c>
    </row>
    <row r="4">
      <c r="A4" s="2" t="n">
        <v>2</v>
      </c>
      <c r="B4" s="2" t="inlineStr">
        <is>
          <t>张一衡</t>
        </is>
      </c>
      <c r="C4" s="2" t="n">
        <v>2275</v>
      </c>
      <c r="D4" s="2" t="inlineStr"/>
      <c r="E4" s="2" t="n">
        <v>27.91</v>
      </c>
      <c r="F4" s="2" t="inlineStr">
        <is>
          <t>自然人</t>
        </is>
      </c>
      <c r="G4" s="2" t="inlineStr"/>
      <c r="H4" s="3" t="inlineStr">
        <is>
          <t>报告期期初股本和股东情况：孙国奉2,287万股(28.06%)、张一衡2,275万股(27.91%)、孙国敏2,275万股(27.91%)、高新同华1,150万股(14.11%)、孙仁豪163万股(2.00%)，合计8,150万股</t>
        </is>
      </c>
    </row>
    <row r="5">
      <c r="A5" s="2" t="n">
        <v>3</v>
      </c>
      <c r="B5" s="2" t="inlineStr">
        <is>
          <t>孙国敏</t>
        </is>
      </c>
      <c r="C5" s="2" t="n">
        <v>2275</v>
      </c>
      <c r="D5" s="2" t="inlineStr"/>
      <c r="E5" s="2" t="n">
        <v>27.91</v>
      </c>
      <c r="F5" s="2" t="inlineStr">
        <is>
          <t>自然人</t>
        </is>
      </c>
      <c r="G5" s="2" t="inlineStr"/>
      <c r="H5" s="3" t="inlineStr">
        <is>
          <t>报告期期初股本和股东情况：孙国奉2,287万股(28.06%)、张一衡2,275万股(27.91%)、孙国敏2,275万股(27.91%)、高新同华1,150万股(14.11%)、孙仁豪163万股(2.00%)，合计8,150万股</t>
        </is>
      </c>
    </row>
    <row r="6">
      <c r="A6" s="2" t="n">
        <v>4</v>
      </c>
      <c r="B6" s="2" t="inlineStr">
        <is>
          <t>高新同华</t>
        </is>
      </c>
      <c r="C6" s="2" t="n">
        <v>1150</v>
      </c>
      <c r="D6" s="2" t="inlineStr"/>
      <c r="E6" s="2" t="n">
        <v>14.11</v>
      </c>
      <c r="F6" s="2" t="inlineStr">
        <is>
          <t>PE/VC</t>
        </is>
      </c>
      <c r="G6" s="2" t="inlineStr"/>
      <c r="H6" s="3" t="inlineStr">
        <is>
          <t>报告期期初股本和股东情况：孙国奉2,287万股(28.06%)、张一衡2,275万股(27.91%)、孙国敏2,275万股(27.91%)、高新同华1,150万股(14.11%)、孙仁豪163万股(2.00%)，合计8,150万股</t>
        </is>
      </c>
    </row>
    <row r="7">
      <c r="A7" s="2" t="n">
        <v>5</v>
      </c>
      <c r="B7" s="2" t="inlineStr">
        <is>
          <t>孙仁豪</t>
        </is>
      </c>
      <c r="C7" s="2" t="n">
        <v>163</v>
      </c>
      <c r="D7" s="2" t="inlineStr"/>
      <c r="E7" s="2" t="n">
        <v>2</v>
      </c>
      <c r="F7" s="2" t="inlineStr">
        <is>
          <t>自然人</t>
        </is>
      </c>
      <c r="G7" s="2" t="inlineStr"/>
      <c r="H7" s="3" t="inlineStr">
        <is>
          <t>报告期期初股本和股东情况：孙国奉2,287万股(28.06%)、张一衡2,275万股(27.91%)、孙国敏2,275万股(27.91%)、高新同华1,150万股(14.11%)、孙仁豪163万股(2.00%)，合计8,150万股</t>
        </is>
      </c>
    </row>
    <row r="8">
      <c r="A8" s="4" t="inlineStr">
        <is>
          <t>合计</t>
        </is>
      </c>
      <c r="B8" s="5" t="n"/>
      <c r="C8" s="4">
        <f>SUM(C3:C7)</f>
        <v/>
      </c>
      <c r="D8" s="4">
        <f>SUM(D3:D7)</f>
        <v/>
      </c>
      <c r="E8" s="4">
        <f>SUM(E3:E7)</f>
        <v/>
      </c>
      <c r="F8" s="5" t="n"/>
      <c r="G8" s="5" t="n"/>
      <c r="H8" s="5" t="n"/>
    </row>
    <row r="10">
      <c r="A10" s="6" t="inlineStr">
        <is>
          <t>t1|第一次增资后  (2019-12-17)  总股本: 8498.0 万股</t>
        </is>
      </c>
    </row>
    <row r="11">
      <c r="A11" s="1" t="inlineStr">
        <is>
          <t>序号</t>
        </is>
      </c>
      <c r="B11" s="1" t="inlineStr">
        <is>
          <t>股东名称</t>
        </is>
      </c>
      <c r="C11" s="1" t="inlineStr">
        <is>
          <t>持股数(万股)</t>
        </is>
      </c>
      <c r="D11" s="1" t="inlineStr">
        <is>
          <t>出资额(万元注册资本)</t>
        </is>
      </c>
      <c r="E11" s="1" t="inlineStr">
        <is>
          <t>持股比例(%)</t>
        </is>
      </c>
      <c r="F11" s="1" t="inlineStr">
        <is>
          <t>股东类型</t>
        </is>
      </c>
      <c r="G11" s="1" t="inlineStr">
        <is>
          <t>PDF页码</t>
        </is>
      </c>
      <c r="H11" s="1" t="inlineStr">
        <is>
          <t>证据文本</t>
        </is>
      </c>
    </row>
    <row r="12">
      <c r="A12" s="2" t="n">
        <v>1</v>
      </c>
      <c r="B12" s="2" t="inlineStr">
        <is>
          <t>孙国奉</t>
        </is>
      </c>
      <c r="C12" s="2" t="n">
        <v>2287</v>
      </c>
      <c r="D12" s="2" t="inlineStr"/>
      <c r="E12" s="2" t="n">
        <v>26.91</v>
      </c>
      <c r="F12" s="2" t="inlineStr">
        <is>
          <t>自然人</t>
        </is>
      </c>
      <c r="G12" s="2" t="inlineStr"/>
      <c r="H12" s="3" t="inlineStr">
        <is>
          <t>本次增资完成后，公司股本结构：孙国奉2,287万股(26.91%)、张一衡2,275万股(26.77%)、孙国敏2,275万股(26.77%)、高新同华1,150万股(13.53%)、三联合伙348万股(4.10%)、孙仁豪163万股(1.92%)，合计8,498万股</t>
        </is>
      </c>
    </row>
    <row r="13">
      <c r="A13" s="2" t="n">
        <v>2</v>
      </c>
      <c r="B13" s="2" t="inlineStr">
        <is>
          <t>张一衡</t>
        </is>
      </c>
      <c r="C13" s="2" t="n">
        <v>2275</v>
      </c>
      <c r="D13" s="2" t="inlineStr"/>
      <c r="E13" s="2" t="n">
        <v>26.77</v>
      </c>
      <c r="F13" s="2" t="inlineStr">
        <is>
          <t>自然人</t>
        </is>
      </c>
      <c r="G13" s="2" t="inlineStr"/>
      <c r="H13" s="3" t="inlineStr">
        <is>
          <t>本次增资完成后，公司股本结构：孙国奉2,287万股(26.91%)、张一衡2,275万股(26.77%)、孙国敏2,275万股(26.77%)、高新同华1,150万股(13.53%)、三联合伙348万股(4.10%)、孙仁豪163万股(1.92%)，合计8,498万股</t>
        </is>
      </c>
    </row>
    <row r="14">
      <c r="A14" s="2" t="n">
        <v>3</v>
      </c>
      <c r="B14" s="2" t="inlineStr">
        <is>
          <t>孙国敏</t>
        </is>
      </c>
      <c r="C14" s="2" t="n">
        <v>2275</v>
      </c>
      <c r="D14" s="2" t="inlineStr"/>
      <c r="E14" s="2" t="n">
        <v>26.77</v>
      </c>
      <c r="F14" s="2" t="inlineStr">
        <is>
          <t>自然人</t>
        </is>
      </c>
      <c r="G14" s="2" t="inlineStr"/>
      <c r="H14" s="3" t="inlineStr">
        <is>
          <t>本次增资完成后，公司股本结构：孙国奉2,287万股(26.91%)、张一衡2,275万股(26.77%)、孙国敏2,275万股(26.77%)、高新同华1,150万股(13.53%)、三联合伙348万股(4.10%)、孙仁豪163万股(1.92%)，合计8,498万股</t>
        </is>
      </c>
    </row>
    <row r="15">
      <c r="A15" s="2" t="n">
        <v>4</v>
      </c>
      <c r="B15" s="2" t="inlineStr">
        <is>
          <t>高新同华</t>
        </is>
      </c>
      <c r="C15" s="2" t="n">
        <v>1150</v>
      </c>
      <c r="D15" s="2" t="inlineStr"/>
      <c r="E15" s="2" t="n">
        <v>13.53</v>
      </c>
      <c r="F15" s="2" t="inlineStr">
        <is>
          <t>PE/VC</t>
        </is>
      </c>
      <c r="G15" s="2" t="inlineStr"/>
      <c r="H15" s="3" t="inlineStr">
        <is>
          <t>本次增资完成后，公司股本结构：孙国奉2,287万股(26.91%)、张一衡2,275万股(26.77%)、孙国敏2,275万股(26.77%)、高新同华1,150万股(13.53%)、三联合伙348万股(4.10%)、孙仁豪163万股(1.92%)，合计8,498万股</t>
        </is>
      </c>
    </row>
    <row r="16">
      <c r="A16" s="2" t="n">
        <v>5</v>
      </c>
      <c r="B16" s="2" t="inlineStr">
        <is>
          <t>三联合伙</t>
        </is>
      </c>
      <c r="C16" s="2" t="n">
        <v>348</v>
      </c>
      <c r="D16" s="2" t="inlineStr"/>
      <c r="E16" s="2" t="n">
        <v>4.1</v>
      </c>
      <c r="F16" s="2" t="inlineStr">
        <is>
          <t>员工持股平台</t>
        </is>
      </c>
      <c r="G16" s="2" t="inlineStr"/>
      <c r="H16" s="3" t="inlineStr">
        <is>
          <t>本次增资完成后，公司股本结构：孙国奉2,287万股(26.91%)、张一衡2,275万股(26.77%)、孙国敏2,275万股(26.77%)、高新同华1,150万股(13.53%)、三联合伙348万股(4.10%)、孙仁豪163万股(1.92%)，合计8,498万股</t>
        </is>
      </c>
    </row>
    <row r="17">
      <c r="A17" s="2" t="n">
        <v>6</v>
      </c>
      <c r="B17" s="2" t="inlineStr">
        <is>
          <t>孙仁豪</t>
        </is>
      </c>
      <c r="C17" s="2" t="n">
        <v>163</v>
      </c>
      <c r="D17" s="2" t="inlineStr"/>
      <c r="E17" s="2" t="n">
        <v>1.92</v>
      </c>
      <c r="F17" s="2" t="inlineStr">
        <is>
          <t>自然人</t>
        </is>
      </c>
      <c r="G17" s="2" t="inlineStr"/>
      <c r="H17" s="3" t="inlineStr">
        <is>
          <t>本次增资完成后，公司股本结构：孙国奉2,287万股(26.91%)、张一衡2,275万股(26.77%)、孙国敏2,275万股(26.77%)、高新同华1,150万股(13.53%)、三联合伙348万股(4.10%)、孙仁豪163万股(1.92%)，合计8,498万股</t>
        </is>
      </c>
    </row>
    <row r="18">
      <c r="A18" s="4" t="inlineStr">
        <is>
          <t>合计</t>
        </is>
      </c>
      <c r="B18" s="5" t="n"/>
      <c r="C18" s="4">
        <f>SUM(C12:C17)</f>
        <v/>
      </c>
      <c r="D18" s="4">
        <f>SUM(D12:D17)</f>
        <v/>
      </c>
      <c r="E18" s="4">
        <f>SUM(E12:E17)</f>
        <v/>
      </c>
      <c r="F18" s="5" t="n"/>
      <c r="G18" s="5" t="n"/>
      <c r="H18" s="5" t="n"/>
    </row>
  </sheetData>
  <mergeCells count="2">
    <mergeCell ref="A10:H10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40" customWidth="1" min="10" max="10"/>
  </cols>
  <sheetData>
    <row r="1">
      <c r="A1" s="1" t="inlineStr">
        <is>
          <t>校验项</t>
        </is>
      </c>
      <c r="B1" s="1" t="inlineStr">
        <is>
          <t>时点</t>
        </is>
      </c>
      <c r="C1" s="1" t="inlineStr">
        <is>
          <t>t0股本(A)</t>
        </is>
      </c>
      <c r="D1" s="1" t="inlineStr">
        <is>
          <t>t1股本(B)</t>
        </is>
      </c>
      <c r="E1" s="1" t="inlineStr">
        <is>
          <t>认缴合计(C)</t>
        </is>
      </c>
      <c r="F1" s="1" t="inlineStr">
        <is>
          <t>理论值(A+C)</t>
        </is>
      </c>
      <c r="G1" s="1" t="inlineStr">
        <is>
          <t>实际值(B)</t>
        </is>
      </c>
      <c r="H1" s="1" t="inlineStr">
        <is>
          <t>差额</t>
        </is>
      </c>
      <c r="I1" s="1" t="inlineStr">
        <is>
          <t>差额率</t>
        </is>
      </c>
      <c r="J1" s="1" t="inlineStr">
        <is>
          <t>复核提示</t>
        </is>
      </c>
    </row>
    <row r="2">
      <c r="A2" s="2" t="inlineStr">
        <is>
          <t>总量核对</t>
        </is>
      </c>
      <c r="B2" s="2" t="inlineStr">
        <is>
          <t>t0|报告期初→t1|第一次增资后</t>
        </is>
      </c>
      <c r="C2" s="2" t="n">
        <v>8150</v>
      </c>
      <c r="D2" s="2" t="n">
        <v>8498</v>
      </c>
      <c r="E2" s="2" t="n">
        <v>0</v>
      </c>
      <c r="F2" s="2" t="n">
        <v>8150</v>
      </c>
      <c r="G2" s="2" t="n">
        <v>8498</v>
      </c>
      <c r="H2" s="2" t="n">
        <v>348</v>
      </c>
      <c r="I2" s="2" t="inlineStr">
        <is>
          <t>4.10%</t>
        </is>
      </c>
      <c r="J2" s="2" t="inlineStr">
        <is>
          <t>❌ 差额较大，需核查是否有遗漏的增资/减资/股权转让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2026-06-11T06:42:31Z</dcterms:created>
  <dcterms:modified xmlns:dcterms="http://purl.org/dc/terms/" xmlns:xsi="http://www.w3.org/2001/XMLSchema-instance" xsi:type="dcterms:W3CDTF">2026-06-11T06:42:31Z</dcterms:modified>
</cp:coreProperties>
</file>