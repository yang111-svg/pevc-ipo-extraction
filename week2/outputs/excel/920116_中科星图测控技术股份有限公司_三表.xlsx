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2017-10-09</t>
        </is>
      </c>
      <c r="D2" s="2" t="inlineStr">
        <is>
          <t>股权转让(代持还原)</t>
        </is>
      </c>
      <c r="E2" s="2" t="inlineStr">
        <is>
          <t>牛威</t>
        </is>
      </c>
      <c r="F2" s="2" t="inlineStr">
        <is>
          <t>自然人</t>
        </is>
      </c>
      <c r="G2" s="2" t="n">
        <v>400</v>
      </c>
      <c r="H2" s="2" t="n">
        <v>0</v>
      </c>
      <c r="I2" s="2" t="n">
        <v>0</v>
      </c>
      <c r="J2" s="2" t="inlineStr">
        <is>
          <t>人民币</t>
        </is>
      </c>
      <c r="K2" s="2" t="inlineStr"/>
      <c r="L2" s="3" t="inlineStr">
        <is>
          <t>2017年10月9日，罗永红将其持有的星图测控有限20%股权(对应400万元认缴注册资本，其中12.50万元已实缴)转让予牛威。鉴于罗永红所持公司股权系为牛威代持，本次股权转让系还原股权代持，故牛威未向罗永红实际支付股权转让对价</t>
        </is>
      </c>
    </row>
    <row r="3">
      <c r="A3" s="2" t="n">
        <v>2</v>
      </c>
      <c r="B3" s="2" t="inlineStr"/>
      <c r="C3" s="2" t="inlineStr">
        <is>
          <t>2017-10-09</t>
        </is>
      </c>
      <c r="D3" s="2" t="inlineStr">
        <is>
          <t>股权转让(代持还原)</t>
        </is>
      </c>
      <c r="E3" s="2" t="inlineStr">
        <is>
          <t>吴功友</t>
        </is>
      </c>
      <c r="F3" s="2" t="inlineStr">
        <is>
          <t>自然人</t>
        </is>
      </c>
      <c r="G3" s="2" t="n">
        <v>400</v>
      </c>
      <c r="H3" s="2" t="n">
        <v>0</v>
      </c>
      <c r="I3" s="2" t="n">
        <v>0</v>
      </c>
      <c r="J3" s="2" t="inlineStr">
        <is>
          <t>人民币</t>
        </is>
      </c>
      <c r="K3" s="2" t="inlineStr"/>
      <c r="L3" s="3" t="inlineStr">
        <is>
          <t>王金林将其持有的星图测控有限20%股权(对应400万元认缴注册资本，其中12.50万元已实缴)转让予吴功友。鉴于王金林所持公司股权系为吴功友代持，本次股权转让系还原股权代持，故吴功友未向王金林实际支付股权转让对价</t>
        </is>
      </c>
    </row>
    <row r="4">
      <c r="A4" s="2" t="n">
        <v>3</v>
      </c>
      <c r="B4" s="2" t="inlineStr"/>
      <c r="C4" s="2" t="inlineStr">
        <is>
          <t>2022-11-23</t>
        </is>
      </c>
      <c r="D4" s="2" t="inlineStr">
        <is>
          <t>增资</t>
        </is>
      </c>
      <c r="E4" s="2" t="inlineStr">
        <is>
          <t>星图空间</t>
        </is>
      </c>
      <c r="F4" s="2" t="inlineStr">
        <is>
          <t>法人股东</t>
        </is>
      </c>
      <c r="G4" s="2" t="n">
        <v>1400</v>
      </c>
      <c r="H4" s="2" t="n">
        <v>1400</v>
      </c>
      <c r="I4" s="2" t="n">
        <v>1</v>
      </c>
      <c r="J4" s="2" t="inlineStr">
        <is>
          <t>人民币</t>
        </is>
      </c>
      <c r="K4" s="2" t="inlineStr"/>
      <c r="L4" s="3" t="inlineStr">
        <is>
          <t>2022年11月23日，星图测控有限股东会作出决议，同意星图空间向星图测控有限增资1,400万元，增资价格为1元/注册资本。本次增资完成后，星图测控有限注册资本由2,000万元增加至3,400万元</t>
        </is>
      </c>
    </row>
    <row r="5">
      <c r="A5" s="2" t="n">
        <v>4</v>
      </c>
      <c r="B5" s="2" t="inlineStr"/>
      <c r="C5" s="2" t="inlineStr">
        <is>
          <t>2023-01-16</t>
        </is>
      </c>
      <c r="D5" s="2" t="inlineStr">
        <is>
          <t>股权转让(零对价)</t>
        </is>
      </c>
      <c r="E5" s="2" t="inlineStr">
        <is>
          <t>策星银河</t>
        </is>
      </c>
      <c r="F5" s="2" t="inlineStr">
        <is>
          <t>员工持股平台</t>
        </is>
      </c>
      <c r="G5" s="2" t="n">
        <v>340</v>
      </c>
      <c r="H5" s="2" t="n">
        <v>0</v>
      </c>
      <c r="I5" s="2" t="n">
        <v>0</v>
      </c>
      <c r="J5" s="2" t="inlineStr">
        <is>
          <t>人民币</t>
        </is>
      </c>
      <c r="K5" s="2" t="inlineStr"/>
      <c r="L5" s="3" t="inlineStr">
        <is>
          <t>2023年1月16日，四方股份将其持有的星图测控有限10%股权(对应340万元认缴注册资本)转让予策星银河。鉴于策星银河系发行人员工持股平台，本次股权转让系实施股权激励，转让价格为零对价</t>
        </is>
      </c>
    </row>
    <row r="6">
      <c r="A6" s="2" t="n">
        <v>5</v>
      </c>
      <c r="B6" s="2" t="inlineStr"/>
      <c r="C6" s="2" t="inlineStr">
        <is>
          <t>2023-01-16</t>
        </is>
      </c>
      <c r="D6" s="2" t="inlineStr">
        <is>
          <t>股权转让(零对价)</t>
        </is>
      </c>
      <c r="E6" s="2" t="inlineStr">
        <is>
          <t>策星逐月</t>
        </is>
      </c>
      <c r="F6" s="2" t="inlineStr">
        <is>
          <t>员工持股平台</t>
        </is>
      </c>
      <c r="G6" s="2" t="n">
        <v>170</v>
      </c>
      <c r="H6" s="2" t="n">
        <v>0</v>
      </c>
      <c r="I6" s="2" t="n">
        <v>0</v>
      </c>
      <c r="J6" s="2" t="inlineStr">
        <is>
          <t>人民币</t>
        </is>
      </c>
      <c r="K6" s="2" t="inlineStr"/>
      <c r="L6" s="3" t="inlineStr">
        <is>
          <t>四方股份将其持有的星图测控有限5%股权(对应170万元认缴注册资本)转让予策星逐月。鉴于策星逐月系发行人员工持股平台，本次股权转让系实施股权激励，转让价格为零对价</t>
        </is>
      </c>
    </row>
    <row r="7">
      <c r="A7" s="2" t="n">
        <v>6</v>
      </c>
      <c r="B7" s="2" t="inlineStr"/>
      <c r="C7" s="2" t="inlineStr">
        <is>
          <t>2023-06-28</t>
        </is>
      </c>
      <c r="D7" s="2" t="inlineStr">
        <is>
          <t>增资</t>
        </is>
      </c>
      <c r="E7" s="2" t="inlineStr">
        <is>
          <t>策星银河</t>
        </is>
      </c>
      <c r="F7" s="2" t="inlineStr">
        <is>
          <t>员工持股平台</t>
        </is>
      </c>
      <c r="G7" s="2" t="n">
        <v>226.67</v>
      </c>
      <c r="H7" s="2" t="n">
        <v>226.67</v>
      </c>
      <c r="I7" s="2" t="n">
        <v>1</v>
      </c>
      <c r="J7" s="2" t="inlineStr">
        <is>
          <t>人民币</t>
        </is>
      </c>
      <c r="K7" s="2" t="inlineStr"/>
      <c r="L7" s="3" t="inlineStr">
        <is>
          <t>2023年6月28日，星图测控有限股东会作出决议，同意策星银河向星图测控有限增资226.6667万元，增资价格为1元/注册资本。本次增资完成后，星图测控有限注册资本由3,400万元增加至3,626.6667万元</t>
        </is>
      </c>
    </row>
    <row r="8">
      <c r="A8" s="4" t="inlineStr">
        <is>
          <t>合计</t>
        </is>
      </c>
      <c r="B8" s="5" t="n"/>
      <c r="C8" s="5" t="n"/>
      <c r="D8" s="5" t="n"/>
      <c r="E8" s="5" t="n"/>
      <c r="F8" s="5" t="n"/>
      <c r="G8" s="4">
        <f>SUM(G2:G7)</f>
        <v/>
      </c>
      <c r="H8" s="4">
        <f>SUM(H2:H7)</f>
        <v/>
      </c>
      <c r="I8" s="5" t="n"/>
      <c r="J8" s="5" t="n"/>
      <c r="K8" s="5" t="n"/>
      <c r="L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t0|有限公司设立  (2016-12-14)  总股本: 2000.0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四方股份</t>
        </is>
      </c>
      <c r="C3" s="2" t="n">
        <v>1200</v>
      </c>
      <c r="D3" s="2" t="inlineStr"/>
      <c r="E3" s="2" t="n">
        <v>60</v>
      </c>
      <c r="F3" s="2" t="inlineStr">
        <is>
          <t>上市公司</t>
        </is>
      </c>
      <c r="G3" s="2" t="inlineStr"/>
      <c r="H3" s="3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</row>
    <row r="4">
      <c r="A4" s="2" t="n">
        <v>2</v>
      </c>
      <c r="B4" s="2" t="inlineStr">
        <is>
          <t>罗永红(代牛威)</t>
        </is>
      </c>
      <c r="C4" s="2" t="n">
        <v>400</v>
      </c>
      <c r="D4" s="2" t="inlineStr"/>
      <c r="E4" s="2" t="n">
        <v>20</v>
      </c>
      <c r="F4" s="2" t="inlineStr">
        <is>
          <t>自然人(代持)</t>
        </is>
      </c>
      <c r="G4" s="2" t="inlineStr"/>
      <c r="H4" s="3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</row>
    <row r="5">
      <c r="A5" s="2" t="n">
        <v>3</v>
      </c>
      <c r="B5" s="2" t="inlineStr">
        <is>
          <t>王金林(代吴功友)</t>
        </is>
      </c>
      <c r="C5" s="2" t="n">
        <v>400</v>
      </c>
      <c r="D5" s="2" t="inlineStr"/>
      <c r="E5" s="2" t="n">
        <v>20</v>
      </c>
      <c r="F5" s="2" t="inlineStr">
        <is>
          <t>自然人(代持)</t>
        </is>
      </c>
      <c r="G5" s="2" t="inlineStr"/>
      <c r="H5" s="3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</row>
    <row r="6">
      <c r="A6" s="4" t="inlineStr">
        <is>
          <t>合计</t>
        </is>
      </c>
      <c r="B6" s="5" t="n"/>
      <c r="C6" s="4">
        <f>SUM(C3:C5)</f>
        <v/>
      </c>
      <c r="D6" s="4">
        <f>SUM(D3:D5)</f>
        <v/>
      </c>
      <c r="E6" s="4">
        <f>SUM(E3:E5)</f>
        <v/>
      </c>
      <c r="F6" s="5" t="n"/>
      <c r="G6" s="5" t="n"/>
      <c r="H6" s="5" t="n"/>
    </row>
    <row r="8">
      <c r="A8" s="6" t="inlineStr">
        <is>
          <t>t1|代持还原后  (2017-10-25)  总股本: 2000.0 万股</t>
        </is>
      </c>
    </row>
    <row r="9">
      <c r="A9" s="1" t="inlineStr">
        <is>
          <t>序号</t>
        </is>
      </c>
      <c r="B9" s="1" t="inlineStr">
        <is>
          <t>股东名称</t>
        </is>
      </c>
      <c r="C9" s="1" t="inlineStr">
        <is>
          <t>持股数(万股)</t>
        </is>
      </c>
      <c r="D9" s="1" t="inlineStr">
        <is>
          <t>出资额(万元注册资本)</t>
        </is>
      </c>
      <c r="E9" s="1" t="inlineStr">
        <is>
          <t>持股比例(%)</t>
        </is>
      </c>
      <c r="F9" s="1" t="inlineStr">
        <is>
          <t>股东类型</t>
        </is>
      </c>
      <c r="G9" s="1" t="inlineStr">
        <is>
          <t>PDF页码</t>
        </is>
      </c>
      <c r="H9" s="1" t="inlineStr">
        <is>
          <t>证据文本</t>
        </is>
      </c>
    </row>
    <row r="10">
      <c r="A10" s="2" t="n">
        <v>1</v>
      </c>
      <c r="B10" s="2" t="inlineStr">
        <is>
          <t>四方股份</t>
        </is>
      </c>
      <c r="C10" s="2" t="n">
        <v>1200</v>
      </c>
      <c r="D10" s="2" t="inlineStr"/>
      <c r="E10" s="2" t="n">
        <v>60</v>
      </c>
      <c r="F10" s="2" t="inlineStr">
        <is>
          <t>上市公司</t>
        </is>
      </c>
      <c r="G10" s="2" t="inlineStr"/>
      <c r="H10" s="3" t="inlineStr">
        <is>
          <t>代持还原后，四方股份1,200万元(60%)、牛威400万元(20%)、吴功友400万元(20%)</t>
        </is>
      </c>
    </row>
    <row r="11">
      <c r="A11" s="2" t="n">
        <v>2</v>
      </c>
      <c r="B11" s="2" t="inlineStr">
        <is>
          <t>牛威</t>
        </is>
      </c>
      <c r="C11" s="2" t="n">
        <v>400</v>
      </c>
      <c r="D11" s="2" t="inlineStr"/>
      <c r="E11" s="2" t="n">
        <v>20</v>
      </c>
      <c r="F11" s="2" t="inlineStr">
        <is>
          <t>自然人</t>
        </is>
      </c>
      <c r="G11" s="2" t="inlineStr"/>
      <c r="H11" s="3" t="inlineStr">
        <is>
          <t>代持还原后，四方股份1,200万元(60%)、牛威400万元(20%)、吴功友400万元(20%)</t>
        </is>
      </c>
    </row>
    <row r="12">
      <c r="A12" s="2" t="n">
        <v>3</v>
      </c>
      <c r="B12" s="2" t="inlineStr">
        <is>
          <t>吴功友</t>
        </is>
      </c>
      <c r="C12" s="2" t="n">
        <v>400</v>
      </c>
      <c r="D12" s="2" t="inlineStr"/>
      <c r="E12" s="2" t="n">
        <v>20</v>
      </c>
      <c r="F12" s="2" t="inlineStr">
        <is>
          <t>自然人</t>
        </is>
      </c>
      <c r="G12" s="2" t="inlineStr"/>
      <c r="H12" s="3" t="inlineStr">
        <is>
          <t>代持还原后，四方股份1,200万元(60%)、牛威400万元(20%)、吴功友400万元(20%)</t>
        </is>
      </c>
    </row>
    <row r="13">
      <c r="A13" s="4" t="inlineStr">
        <is>
          <t>合计</t>
        </is>
      </c>
      <c r="B13" s="5" t="n"/>
      <c r="C13" s="4">
        <f>SUM(C10:C12)</f>
        <v/>
      </c>
      <c r="D13" s="4">
        <f>SUM(D10:D12)</f>
        <v/>
      </c>
      <c r="E13" s="4">
        <f>SUM(E10:E12)</f>
        <v/>
      </c>
      <c r="F13" s="5" t="n"/>
      <c r="G13" s="5" t="n"/>
      <c r="H13" s="5" t="n"/>
    </row>
    <row r="15">
      <c r="A15" s="6" t="inlineStr">
        <is>
          <t>t2|第一次增资后  (2022-11-28)  总股本: 3400.0 万股</t>
        </is>
      </c>
    </row>
    <row r="16">
      <c r="A16" s="1" t="inlineStr">
        <is>
          <t>序号</t>
        </is>
      </c>
      <c r="B16" s="1" t="inlineStr">
        <is>
          <t>股东名称</t>
        </is>
      </c>
      <c r="C16" s="1" t="inlineStr">
        <is>
          <t>持股数(万股)</t>
        </is>
      </c>
      <c r="D16" s="1" t="inlineStr">
        <is>
          <t>出资额(万元注册资本)</t>
        </is>
      </c>
      <c r="E16" s="1" t="inlineStr">
        <is>
          <t>持股比例(%)</t>
        </is>
      </c>
      <c r="F16" s="1" t="inlineStr">
        <is>
          <t>股东类型</t>
        </is>
      </c>
      <c r="G16" s="1" t="inlineStr">
        <is>
          <t>PDF页码</t>
        </is>
      </c>
      <c r="H16" s="1" t="inlineStr">
        <is>
          <t>证据文本</t>
        </is>
      </c>
    </row>
    <row r="17">
      <c r="A17" s="2" t="n">
        <v>1</v>
      </c>
      <c r="B17" s="2" t="inlineStr">
        <is>
          <t>四方股份</t>
        </is>
      </c>
      <c r="C17" s="2" t="n">
        <v>1200</v>
      </c>
      <c r="D17" s="2" t="inlineStr"/>
      <c r="E17" s="2" t="n">
        <v>35.29</v>
      </c>
      <c r="F17" s="2" t="inlineStr">
        <is>
          <t>上市公司</t>
        </is>
      </c>
      <c r="G17" s="2" t="inlineStr"/>
      <c r="H17" s="3" t="inlineStr">
        <is>
          <t>增资完成后，四方股份1,200万元(35.29%)、星图空间1,400万元(41.18%)、牛威400万元(11.76%)、吴功友400万元(11.76%)</t>
        </is>
      </c>
    </row>
    <row r="18">
      <c r="A18" s="2" t="n">
        <v>2</v>
      </c>
      <c r="B18" s="2" t="inlineStr">
        <is>
          <t>星图空间</t>
        </is>
      </c>
      <c r="C18" s="2" t="n">
        <v>1400</v>
      </c>
      <c r="D18" s="2" t="inlineStr"/>
      <c r="E18" s="2" t="n">
        <v>41.18</v>
      </c>
      <c r="F18" s="2" t="inlineStr">
        <is>
          <t>法人股东</t>
        </is>
      </c>
      <c r="G18" s="2" t="inlineStr"/>
      <c r="H18" s="3" t="inlineStr">
        <is>
          <t>增资完成后，四方股份1,200万元(35.29%)、星图空间1,400万元(41.18%)、牛威400万元(11.76%)、吴功友400万元(11.76%)</t>
        </is>
      </c>
    </row>
    <row r="19">
      <c r="A19" s="2" t="n">
        <v>3</v>
      </c>
      <c r="B19" s="2" t="inlineStr">
        <is>
          <t>牛威</t>
        </is>
      </c>
      <c r="C19" s="2" t="n">
        <v>400</v>
      </c>
      <c r="D19" s="2" t="inlineStr"/>
      <c r="E19" s="2" t="n">
        <v>11.76</v>
      </c>
      <c r="F19" s="2" t="inlineStr">
        <is>
          <t>自然人</t>
        </is>
      </c>
      <c r="G19" s="2" t="inlineStr"/>
      <c r="H19" s="3" t="inlineStr">
        <is>
          <t>增资完成后，四方股份1,200万元(35.29%)、星图空间1,400万元(41.18%)、牛威400万元(11.76%)、吴功友400万元(11.76%)</t>
        </is>
      </c>
    </row>
    <row r="20">
      <c r="A20" s="2" t="n">
        <v>4</v>
      </c>
      <c r="B20" s="2" t="inlineStr">
        <is>
          <t>吴功友</t>
        </is>
      </c>
      <c r="C20" s="2" t="n">
        <v>400</v>
      </c>
      <c r="D20" s="2" t="inlineStr"/>
      <c r="E20" s="2" t="n">
        <v>11.76</v>
      </c>
      <c r="F20" s="2" t="inlineStr">
        <is>
          <t>自然人</t>
        </is>
      </c>
      <c r="G20" s="2" t="inlineStr"/>
      <c r="H20" s="3" t="inlineStr">
        <is>
          <t>增资完成后，四方股份1,200万元(35.29%)、星图空间1,400万元(41.18%)、牛威400万元(11.76%)、吴功友400万元(11.76%)</t>
        </is>
      </c>
    </row>
    <row r="21">
      <c r="A21" s="4" t="inlineStr">
        <is>
          <t>合计</t>
        </is>
      </c>
      <c r="B21" s="5" t="n"/>
      <c r="C21" s="4">
        <f>SUM(C17:C20)</f>
        <v/>
      </c>
      <c r="D21" s="4">
        <f>SUM(D17:D20)</f>
        <v/>
      </c>
      <c r="E21" s="4">
        <f>SUM(E17:E20)</f>
        <v/>
      </c>
      <c r="F21" s="5" t="n"/>
      <c r="G21" s="5" t="n"/>
      <c r="H21" s="5" t="n"/>
    </row>
    <row r="23">
      <c r="A23" s="6" t="inlineStr">
        <is>
          <t>t3|股权激励后  (2023-02-03)  总股本: 3400.0 万股</t>
        </is>
      </c>
    </row>
    <row r="24">
      <c r="A24" s="1" t="inlineStr">
        <is>
          <t>序号</t>
        </is>
      </c>
      <c r="B24" s="1" t="inlineStr">
        <is>
          <t>股东名称</t>
        </is>
      </c>
      <c r="C24" s="1" t="inlineStr">
        <is>
          <t>持股数(万股)</t>
        </is>
      </c>
      <c r="D24" s="1" t="inlineStr">
        <is>
          <t>出资额(万元注册资本)</t>
        </is>
      </c>
      <c r="E24" s="1" t="inlineStr">
        <is>
          <t>持股比例(%)</t>
        </is>
      </c>
      <c r="F24" s="1" t="inlineStr">
        <is>
          <t>股东类型</t>
        </is>
      </c>
      <c r="G24" s="1" t="inlineStr">
        <is>
          <t>PDF页码</t>
        </is>
      </c>
      <c r="H24" s="1" t="inlineStr">
        <is>
          <t>证据文本</t>
        </is>
      </c>
    </row>
    <row r="25">
      <c r="A25" s="2" t="n">
        <v>1</v>
      </c>
      <c r="B25" s="2" t="inlineStr">
        <is>
          <t>四方股份</t>
        </is>
      </c>
      <c r="C25" s="2" t="n">
        <v>690</v>
      </c>
      <c r="D25" s="2" t="inlineStr"/>
      <c r="E25" s="2" t="n">
        <v>20.29</v>
      </c>
      <c r="F25" s="2" t="inlineStr">
        <is>
          <t>上市公司</t>
        </is>
      </c>
      <c r="G25" s="2" t="inlineStr"/>
      <c r="H25" s="3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26">
      <c r="A26" s="2" t="n">
        <v>2</v>
      </c>
      <c r="B26" s="2" t="inlineStr">
        <is>
          <t>星图空间</t>
        </is>
      </c>
      <c r="C26" s="2" t="n">
        <v>1400</v>
      </c>
      <c r="D26" s="2" t="inlineStr"/>
      <c r="E26" s="2" t="n">
        <v>41.18</v>
      </c>
      <c r="F26" s="2" t="inlineStr">
        <is>
          <t>法人股东</t>
        </is>
      </c>
      <c r="G26" s="2" t="inlineStr"/>
      <c r="H26" s="3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27">
      <c r="A27" s="2" t="n">
        <v>3</v>
      </c>
      <c r="B27" s="2" t="inlineStr">
        <is>
          <t>牛威</t>
        </is>
      </c>
      <c r="C27" s="2" t="n">
        <v>400</v>
      </c>
      <c r="D27" s="2" t="inlineStr"/>
      <c r="E27" s="2" t="n">
        <v>11.76</v>
      </c>
      <c r="F27" s="2" t="inlineStr">
        <is>
          <t>自然人</t>
        </is>
      </c>
      <c r="G27" s="2" t="inlineStr"/>
      <c r="H27" s="3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28">
      <c r="A28" s="2" t="n">
        <v>4</v>
      </c>
      <c r="B28" s="2" t="inlineStr">
        <is>
          <t>吴功友</t>
        </is>
      </c>
      <c r="C28" s="2" t="n">
        <v>400</v>
      </c>
      <c r="D28" s="2" t="inlineStr"/>
      <c r="E28" s="2" t="n">
        <v>11.76</v>
      </c>
      <c r="F28" s="2" t="inlineStr">
        <is>
          <t>自然人</t>
        </is>
      </c>
      <c r="G28" s="2" t="inlineStr"/>
      <c r="H28" s="3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29">
      <c r="A29" s="2" t="n">
        <v>5</v>
      </c>
      <c r="B29" s="2" t="inlineStr">
        <is>
          <t>策星银河</t>
        </is>
      </c>
      <c r="C29" s="2" t="n">
        <v>340</v>
      </c>
      <c r="D29" s="2" t="inlineStr"/>
      <c r="E29" s="2" t="n">
        <v>10</v>
      </c>
      <c r="F29" s="2" t="inlineStr">
        <is>
          <t>员工持股平台</t>
        </is>
      </c>
      <c r="G29" s="2" t="inlineStr"/>
      <c r="H29" s="3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30">
      <c r="A30" s="2" t="n">
        <v>6</v>
      </c>
      <c r="B30" s="2" t="inlineStr">
        <is>
          <t>策星逐月</t>
        </is>
      </c>
      <c r="C30" s="2" t="n">
        <v>170</v>
      </c>
      <c r="D30" s="2" t="inlineStr"/>
      <c r="E30" s="2" t="n">
        <v>5</v>
      </c>
      <c r="F30" s="2" t="inlineStr">
        <is>
          <t>员工持股平台</t>
        </is>
      </c>
      <c r="G30" s="2" t="inlineStr"/>
      <c r="H30" s="3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31">
      <c r="A31" s="4" t="inlineStr">
        <is>
          <t>合计</t>
        </is>
      </c>
      <c r="B31" s="5" t="n"/>
      <c r="C31" s="4">
        <f>SUM(C25:C30)</f>
        <v/>
      </c>
      <c r="D31" s="4">
        <f>SUM(D25:D30)</f>
        <v/>
      </c>
      <c r="E31" s="4">
        <f>SUM(E25:E30)</f>
        <v/>
      </c>
      <c r="F31" s="5" t="n"/>
      <c r="G31" s="5" t="n"/>
      <c r="H31" s="5" t="n"/>
    </row>
    <row r="33">
      <c r="A33" s="6" t="inlineStr">
        <is>
          <t>t4|第二次增资后  (2023-06-28)  总股本: 3626.6667 万股</t>
        </is>
      </c>
    </row>
    <row r="34">
      <c r="A34" s="1" t="inlineStr">
        <is>
          <t>序号</t>
        </is>
      </c>
      <c r="B34" s="1" t="inlineStr">
        <is>
          <t>股东名称</t>
        </is>
      </c>
      <c r="C34" s="1" t="inlineStr">
        <is>
          <t>持股数(万股)</t>
        </is>
      </c>
      <c r="D34" s="1" t="inlineStr">
        <is>
          <t>出资额(万元注册资本)</t>
        </is>
      </c>
      <c r="E34" s="1" t="inlineStr">
        <is>
          <t>持股比例(%)</t>
        </is>
      </c>
      <c r="F34" s="1" t="inlineStr">
        <is>
          <t>股东类型</t>
        </is>
      </c>
      <c r="G34" s="1" t="inlineStr">
        <is>
          <t>PDF页码</t>
        </is>
      </c>
      <c r="H34" s="1" t="inlineStr">
        <is>
          <t>证据文本</t>
        </is>
      </c>
    </row>
    <row r="35">
      <c r="A35" s="2" t="n">
        <v>1</v>
      </c>
      <c r="B35" s="2" t="inlineStr">
        <is>
          <t>四方股份</t>
        </is>
      </c>
      <c r="C35" s="2" t="n">
        <v>690</v>
      </c>
      <c r="D35" s="2" t="inlineStr"/>
      <c r="E35" s="2" t="n">
        <v>19.03</v>
      </c>
      <c r="F35" s="2" t="inlineStr">
        <is>
          <t>上市公司</t>
        </is>
      </c>
      <c r="G35" s="2" t="inlineStr"/>
      <c r="H35" s="3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36">
      <c r="A36" s="2" t="n">
        <v>2</v>
      </c>
      <c r="B36" s="2" t="inlineStr">
        <is>
          <t>星图空间</t>
        </is>
      </c>
      <c r="C36" s="2" t="n">
        <v>1400</v>
      </c>
      <c r="D36" s="2" t="inlineStr"/>
      <c r="E36" s="2" t="n">
        <v>38.6</v>
      </c>
      <c r="F36" s="2" t="inlineStr">
        <is>
          <t>法人股东</t>
        </is>
      </c>
      <c r="G36" s="2" t="inlineStr"/>
      <c r="H36" s="3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37">
      <c r="A37" s="2" t="n">
        <v>3</v>
      </c>
      <c r="B37" s="2" t="inlineStr">
        <is>
          <t>牛威</t>
        </is>
      </c>
      <c r="C37" s="2" t="n">
        <v>400</v>
      </c>
      <c r="D37" s="2" t="inlineStr"/>
      <c r="E37" s="2" t="n">
        <v>11.03</v>
      </c>
      <c r="F37" s="2" t="inlineStr">
        <is>
          <t>自然人</t>
        </is>
      </c>
      <c r="G37" s="2" t="inlineStr"/>
      <c r="H37" s="3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38">
      <c r="A38" s="2" t="n">
        <v>4</v>
      </c>
      <c r="B38" s="2" t="inlineStr">
        <is>
          <t>吴功友</t>
        </is>
      </c>
      <c r="C38" s="2" t="n">
        <v>400</v>
      </c>
      <c r="D38" s="2" t="inlineStr"/>
      <c r="E38" s="2" t="n">
        <v>11.03</v>
      </c>
      <c r="F38" s="2" t="inlineStr">
        <is>
          <t>自然人</t>
        </is>
      </c>
      <c r="G38" s="2" t="inlineStr"/>
      <c r="H38" s="3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39">
      <c r="A39" s="2" t="n">
        <v>5</v>
      </c>
      <c r="B39" s="2" t="inlineStr">
        <is>
          <t>策星银河</t>
        </is>
      </c>
      <c r="C39" s="2" t="n">
        <v>566.6667</v>
      </c>
      <c r="D39" s="2" t="inlineStr"/>
      <c r="E39" s="2" t="n">
        <v>15.63</v>
      </c>
      <c r="F39" s="2" t="inlineStr">
        <is>
          <t>员工持股平台</t>
        </is>
      </c>
      <c r="G39" s="2" t="inlineStr"/>
      <c r="H39" s="3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40">
      <c r="A40" s="2" t="n">
        <v>6</v>
      </c>
      <c r="B40" s="2" t="inlineStr">
        <is>
          <t>策星逐月</t>
        </is>
      </c>
      <c r="C40" s="2" t="n">
        <v>170</v>
      </c>
      <c r="D40" s="2" t="inlineStr"/>
      <c r="E40" s="2" t="n">
        <v>4.69</v>
      </c>
      <c r="F40" s="2" t="inlineStr">
        <is>
          <t>员工持股平台</t>
        </is>
      </c>
      <c r="G40" s="2" t="inlineStr"/>
      <c r="H40" s="3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41">
      <c r="A41" s="4" t="inlineStr">
        <is>
          <t>合计</t>
        </is>
      </c>
      <c r="B41" s="5" t="n"/>
      <c r="C41" s="4">
        <f>SUM(C35:C40)</f>
        <v/>
      </c>
      <c r="D41" s="4">
        <f>SUM(D35:D40)</f>
        <v/>
      </c>
      <c r="E41" s="4">
        <f>SUM(E35:E40)</f>
        <v/>
      </c>
      <c r="F41" s="5" t="n"/>
      <c r="G41" s="5" t="n"/>
      <c r="H41" s="5" t="n"/>
    </row>
  </sheetData>
  <mergeCells count="5">
    <mergeCell ref="A15:H15"/>
    <mergeCell ref="A33:H33"/>
    <mergeCell ref="A1:H1"/>
    <mergeCell ref="A23:H23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t0|有限公司设立→t1|代持还原后</t>
        </is>
      </c>
      <c r="C2" s="2" t="n">
        <v>2000</v>
      </c>
      <c r="D2" s="2" t="n">
        <v>2000</v>
      </c>
      <c r="E2" s="2" t="n">
        <v>0</v>
      </c>
      <c r="F2" s="2" t="n">
        <v>2000</v>
      </c>
      <c r="G2" s="2" t="n">
        <v>2000</v>
      </c>
      <c r="H2" s="2" t="n">
        <v>0</v>
      </c>
      <c r="I2" s="2" t="inlineStr">
        <is>
          <t>0.00%</t>
        </is>
      </c>
      <c r="J2" s="2" t="inlineStr">
        <is>
          <t>✅ 通过</t>
        </is>
      </c>
    </row>
    <row r="3">
      <c r="A3" s="2" t="inlineStr">
        <is>
          <t>总量核对</t>
        </is>
      </c>
      <c r="B3" s="2" t="inlineStr">
        <is>
          <t>t1|代持还原后→t2|第一次增资后</t>
        </is>
      </c>
      <c r="C3" s="2" t="n">
        <v>2000</v>
      </c>
      <c r="D3" s="2" t="n">
        <v>3400</v>
      </c>
      <c r="E3" s="2" t="n">
        <v>0</v>
      </c>
      <c r="F3" s="2" t="n">
        <v>2000</v>
      </c>
      <c r="G3" s="2" t="n">
        <v>3400</v>
      </c>
      <c r="H3" s="2" t="n">
        <v>1400</v>
      </c>
      <c r="I3" s="2" t="inlineStr">
        <is>
          <t>41.18%</t>
        </is>
      </c>
      <c r="J3" s="2" t="inlineStr">
        <is>
          <t>❌ 差额较大，需核查是否有遗漏的增资/减资/股权转让</t>
        </is>
      </c>
    </row>
    <row r="4">
      <c r="A4" s="2" t="inlineStr">
        <is>
          <t>总量核对</t>
        </is>
      </c>
      <c r="B4" s="2" t="inlineStr">
        <is>
          <t>t2|第一次增资后→t3|股权激励后</t>
        </is>
      </c>
      <c r="C4" s="2" t="n">
        <v>3400</v>
      </c>
      <c r="D4" s="2" t="n">
        <v>3400</v>
      </c>
      <c r="E4" s="2" t="n">
        <v>0</v>
      </c>
      <c r="F4" s="2" t="n">
        <v>3400</v>
      </c>
      <c r="G4" s="2" t="n">
        <v>3400</v>
      </c>
      <c r="H4" s="2" t="n">
        <v>0</v>
      </c>
      <c r="I4" s="2" t="inlineStr">
        <is>
          <t>0.00%</t>
        </is>
      </c>
      <c r="J4" s="2" t="inlineStr">
        <is>
          <t>✅ 通过</t>
        </is>
      </c>
    </row>
    <row r="5">
      <c r="A5" s="2" t="inlineStr">
        <is>
          <t>总量核对</t>
        </is>
      </c>
      <c r="B5" s="2" t="inlineStr">
        <is>
          <t>t3|股权激励后→t4|第二次增资后</t>
        </is>
      </c>
      <c r="C5" s="2" t="n">
        <v>3400</v>
      </c>
      <c r="D5" s="2" t="n">
        <v>3626.6667</v>
      </c>
      <c r="E5" s="2" t="n">
        <v>0</v>
      </c>
      <c r="F5" s="2" t="n">
        <v>3400</v>
      </c>
      <c r="G5" s="2" t="n">
        <v>3626.6667</v>
      </c>
      <c r="H5" s="2" t="n">
        <v>226.6667000000002</v>
      </c>
      <c r="I5" s="2" t="inlineStr">
        <is>
          <t>6.25%</t>
        </is>
      </c>
      <c r="J5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2026-06-11T06:42:33Z</dcterms:created>
  <dcterms:modified xmlns:dcterms="http://purl.org/dc/terms/" xmlns:xsi="http://www.w3.org/2001/XMLSchema-instance" xsi:type="dcterms:W3CDTF">2026-06-11T06:42:33Z</dcterms:modified>
</cp:coreProperties>
</file>