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表" sheetId="1" state="visible" r:id="rId1"/>
    <sheet xmlns:r="http://schemas.openxmlformats.org/officeDocument/2006/relationships" name="股权结构存量表" sheetId="2" state="visible" r:id="rId2"/>
    <sheet xmlns:r="http://schemas.openxmlformats.org/officeDocument/2006/relationships" name="Cross-check校验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60" customWidth="1" min="12" max="12"/>
  </cols>
  <sheetData>
    <row r="1">
      <c r="A1" s="1" t="inlineStr">
        <is>
          <t>序号</t>
        </is>
      </c>
      <c r="B1" s="1" t="inlineStr">
        <is>
          <t>时点</t>
        </is>
      </c>
      <c r="C1" s="1" t="inlineStr">
        <is>
          <t>日期</t>
        </is>
      </c>
      <c r="D1" s="1" t="inlineStr">
        <is>
          <t>事件类型</t>
        </is>
      </c>
      <c r="E1" s="1" t="inlineStr">
        <is>
          <t>投资者名称</t>
        </is>
      </c>
      <c r="F1" s="1" t="inlineStr">
        <is>
          <t>投资者类型</t>
        </is>
      </c>
      <c r="G1" s="1" t="inlineStr">
        <is>
          <t>认缴数量(万股)</t>
        </is>
      </c>
      <c r="H1" s="1" t="inlineStr">
        <is>
          <t>认缴金额(万元)</t>
        </is>
      </c>
      <c r="I1" s="1" t="inlineStr">
        <is>
          <t>认缴价格(元/股)</t>
        </is>
      </c>
      <c r="J1" s="1" t="inlineStr">
        <is>
          <t>出资方式</t>
        </is>
      </c>
      <c r="K1" s="1" t="inlineStr">
        <is>
          <t>PDF页码</t>
        </is>
      </c>
      <c r="L1" s="1" t="inlineStr">
        <is>
          <t>证据文本</t>
        </is>
      </c>
    </row>
    <row r="2">
      <c r="A2" s="2" t="n">
        <v>1</v>
      </c>
      <c r="B2" s="2" t="inlineStr"/>
      <c r="C2" s="2" t="inlineStr">
        <is>
          <t>2019-10-30</t>
        </is>
      </c>
      <c r="D2" s="2" t="inlineStr">
        <is>
          <t>增资</t>
        </is>
      </c>
      <c r="E2" s="2" t="inlineStr">
        <is>
          <t>国科瑞华</t>
        </is>
      </c>
      <c r="F2" s="2" t="inlineStr">
        <is>
          <t>PE/VC</t>
        </is>
      </c>
      <c r="G2" s="2" t="n">
        <v>200</v>
      </c>
      <c r="H2" s="2" t="n">
        <v>5000</v>
      </c>
      <c r="I2" s="2" t="n">
        <v>25</v>
      </c>
      <c r="J2" s="2" t="inlineStr">
        <is>
          <t>人民币</t>
        </is>
      </c>
      <c r="K2" s="2" t="inlineStr"/>
      <c r="L2" s="3" t="inlineStr">
        <is>
          <t>2019年10月30日，国科瑞华以货币方式出资5,000万元认购公司新增注册资本200万元，增资价格25元/股</t>
        </is>
      </c>
    </row>
    <row r="3">
      <c r="A3" s="2" t="n">
        <v>2</v>
      </c>
      <c r="B3" s="2" t="inlineStr"/>
      <c r="C3" s="2" t="inlineStr">
        <is>
          <t>2019-10-30</t>
        </is>
      </c>
      <c r="D3" s="2" t="inlineStr">
        <is>
          <t>增资</t>
        </is>
      </c>
      <c r="E3" s="2" t="inlineStr">
        <is>
          <t>CASREV</t>
        </is>
      </c>
      <c r="F3" s="2" t="inlineStr">
        <is>
          <t>PE/VC</t>
        </is>
      </c>
      <c r="G3" s="2" t="n">
        <v>120</v>
      </c>
      <c r="H3" s="2" t="n">
        <v>3000</v>
      </c>
      <c r="I3" s="2" t="n">
        <v>25</v>
      </c>
      <c r="J3" s="2" t="inlineStr">
        <is>
          <t>人民币</t>
        </is>
      </c>
      <c r="K3" s="2" t="inlineStr"/>
      <c r="L3" s="3" t="inlineStr">
        <is>
          <t>CASREV以货币方式出资3,000万元认购公司新增注册资本120万元</t>
        </is>
      </c>
    </row>
    <row r="4">
      <c r="A4" s="2" t="n">
        <v>3</v>
      </c>
      <c r="B4" s="2" t="inlineStr"/>
      <c r="C4" s="2" t="inlineStr">
        <is>
          <t>2019-10-30</t>
        </is>
      </c>
      <c r="D4" s="2" t="inlineStr">
        <is>
          <t>增资</t>
        </is>
      </c>
      <c r="E4" s="2" t="inlineStr">
        <is>
          <t>中科贵银</t>
        </is>
      </c>
      <c r="F4" s="2" t="inlineStr">
        <is>
          <t>PE/VC</t>
        </is>
      </c>
      <c r="G4" s="2" t="n">
        <v>80</v>
      </c>
      <c r="H4" s="2" t="n">
        <v>2000</v>
      </c>
      <c r="I4" s="2" t="n">
        <v>25</v>
      </c>
      <c r="J4" s="2" t="inlineStr">
        <is>
          <t>人民币</t>
        </is>
      </c>
      <c r="K4" s="2" t="inlineStr"/>
      <c r="L4" s="3" t="inlineStr">
        <is>
          <t>中科贵银以货币方式出资2,000万元认购公司新增注册资本80万元</t>
        </is>
      </c>
    </row>
    <row r="5">
      <c r="A5" s="2" t="n">
        <v>4</v>
      </c>
      <c r="B5" s="2" t="inlineStr"/>
      <c r="C5" s="2" t="inlineStr">
        <is>
          <t>2019-10-30</t>
        </is>
      </c>
      <c r="D5" s="2" t="inlineStr">
        <is>
          <t>增资</t>
        </is>
      </c>
      <c r="E5" s="2" t="inlineStr">
        <is>
          <t>镇江红土</t>
        </is>
      </c>
      <c r="F5" s="2" t="inlineStr">
        <is>
          <t>PE/VC</t>
        </is>
      </c>
      <c r="G5" s="2" t="n">
        <v>80</v>
      </c>
      <c r="H5" s="2" t="n">
        <v>2000</v>
      </c>
      <c r="I5" s="2" t="n">
        <v>25</v>
      </c>
      <c r="J5" s="2" t="inlineStr">
        <is>
          <t>人民币</t>
        </is>
      </c>
      <c r="K5" s="2" t="inlineStr"/>
      <c r="L5" s="3" t="inlineStr">
        <is>
          <t>镇江红土以货币方式出资2,000万元认购公司新增注册资本80万元</t>
        </is>
      </c>
    </row>
    <row r="6">
      <c r="A6" s="2" t="n">
        <v>5</v>
      </c>
      <c r="B6" s="2" t="inlineStr"/>
      <c r="C6" s="2" t="inlineStr">
        <is>
          <t>2019-10-30</t>
        </is>
      </c>
      <c r="D6" s="2" t="inlineStr">
        <is>
          <t>增资</t>
        </is>
      </c>
      <c r="E6" s="2" t="inlineStr">
        <is>
          <t>深创投</t>
        </is>
      </c>
      <c r="F6" s="2" t="inlineStr">
        <is>
          <t>PE/VC</t>
        </is>
      </c>
      <c r="G6" s="2" t="n">
        <v>40</v>
      </c>
      <c r="H6" s="2" t="n">
        <v>1000</v>
      </c>
      <c r="I6" s="2" t="n">
        <v>25</v>
      </c>
      <c r="J6" s="2" t="inlineStr">
        <is>
          <t>人民币</t>
        </is>
      </c>
      <c r="K6" s="2" t="inlineStr"/>
      <c r="L6" s="3" t="inlineStr">
        <is>
          <t>深创投以货币方式出资1,000万元认购公司新增注册资本40万元</t>
        </is>
      </c>
    </row>
    <row r="7">
      <c r="A7" s="2" t="n">
        <v>6</v>
      </c>
      <c r="B7" s="2" t="inlineStr"/>
      <c r="C7" s="2" t="inlineStr">
        <is>
          <t>2019-10-30</t>
        </is>
      </c>
      <c r="D7" s="2" t="inlineStr">
        <is>
          <t>增资</t>
        </is>
      </c>
      <c r="E7" s="2" t="inlineStr">
        <is>
          <t>昆山红土</t>
        </is>
      </c>
      <c r="F7" s="2" t="inlineStr">
        <is>
          <t>PE/VC</t>
        </is>
      </c>
      <c r="G7" s="2" t="n">
        <v>20</v>
      </c>
      <c r="H7" s="2" t="n">
        <v>500</v>
      </c>
      <c r="I7" s="2" t="n">
        <v>25</v>
      </c>
      <c r="J7" s="2" t="inlineStr">
        <is>
          <t>人民币</t>
        </is>
      </c>
      <c r="K7" s="2" t="inlineStr"/>
      <c r="L7" s="3" t="inlineStr">
        <is>
          <t>昆山红土以货币方式出资500万元认购公司新增注册资本20万元</t>
        </is>
      </c>
    </row>
    <row r="8">
      <c r="A8" s="2" t="n">
        <v>7</v>
      </c>
      <c r="B8" s="2" t="inlineStr"/>
      <c r="C8" s="2" t="inlineStr">
        <is>
          <t>2019-10-30</t>
        </is>
      </c>
      <c r="D8" s="2" t="inlineStr">
        <is>
          <t>增资</t>
        </is>
      </c>
      <c r="E8" s="2" t="inlineStr">
        <is>
          <t>富海节能</t>
        </is>
      </c>
      <c r="F8" s="2" t="inlineStr">
        <is>
          <t>PE/VC</t>
        </is>
      </c>
      <c r="G8" s="2" t="n">
        <v>20</v>
      </c>
      <c r="H8" s="2" t="n">
        <v>500</v>
      </c>
      <c r="I8" s="2" t="n">
        <v>25</v>
      </c>
      <c r="J8" s="2" t="inlineStr">
        <is>
          <t>人民币</t>
        </is>
      </c>
      <c r="K8" s="2" t="inlineStr"/>
      <c r="L8" s="3" t="inlineStr">
        <is>
          <t>富海节能以货币方式出资500万元认购公司新增注册资本20万元</t>
        </is>
      </c>
    </row>
    <row r="9">
      <c r="A9" s="2" t="n">
        <v>8</v>
      </c>
      <c r="B9" s="2" t="inlineStr"/>
      <c r="C9" s="2" t="inlineStr">
        <is>
          <t>2019-10-30</t>
        </is>
      </c>
      <c r="D9" s="2" t="inlineStr">
        <is>
          <t>增资</t>
        </is>
      </c>
      <c r="E9" s="2" t="inlineStr">
        <is>
          <t>杭州藤创</t>
        </is>
      </c>
      <c r="F9" s="2" t="inlineStr">
        <is>
          <t>PE/VC</t>
        </is>
      </c>
      <c r="G9" s="2" t="n">
        <v>10</v>
      </c>
      <c r="H9" s="2" t="n">
        <v>250</v>
      </c>
      <c r="I9" s="2" t="n">
        <v>25</v>
      </c>
      <c r="J9" s="2" t="inlineStr">
        <is>
          <t>人民币</t>
        </is>
      </c>
      <c r="K9" s="2" t="inlineStr"/>
      <c r="L9" s="3" t="inlineStr">
        <is>
          <t>杭州藤创以货币方式出资250万元认购公司新增注册资本10万元</t>
        </is>
      </c>
    </row>
    <row r="10">
      <c r="A10" s="4" t="inlineStr">
        <is>
          <t>合计</t>
        </is>
      </c>
      <c r="B10" s="5" t="n"/>
      <c r="C10" s="5" t="n"/>
      <c r="D10" s="5" t="n"/>
      <c r="E10" s="5" t="n"/>
      <c r="F10" s="5" t="n"/>
      <c r="G10" s="4">
        <f>SUM(G2:G9)</f>
        <v/>
      </c>
      <c r="H10" s="4">
        <f>SUM(H2:H9)</f>
        <v/>
      </c>
      <c r="I10" s="5" t="n"/>
      <c r="J10" s="5" t="n"/>
      <c r="K10" s="5" t="n"/>
      <c r="L1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60" customWidth="1" min="8" max="8"/>
  </cols>
  <sheetData>
    <row r="1">
      <c r="A1" s="6" t="inlineStr">
        <is>
          <t>t0|报告期初  (2019-01-01)  总股本: 4598.0 万股</t>
        </is>
      </c>
    </row>
    <row r="2">
      <c r="A2" s="1" t="inlineStr">
        <is>
          <t>序号</t>
        </is>
      </c>
      <c r="B2" s="1" t="inlineStr">
        <is>
          <t>股东名称</t>
        </is>
      </c>
      <c r="C2" s="1" t="inlineStr">
        <is>
          <t>持股数(万股)</t>
        </is>
      </c>
      <c r="D2" s="1" t="inlineStr">
        <is>
          <t>出资额(万元注册资本)</t>
        </is>
      </c>
      <c r="E2" s="1" t="inlineStr">
        <is>
          <t>持股比例(%)</t>
        </is>
      </c>
      <c r="F2" s="1" t="inlineStr">
        <is>
          <t>股东类型</t>
        </is>
      </c>
      <c r="G2" s="1" t="inlineStr">
        <is>
          <t>PDF页码</t>
        </is>
      </c>
      <c r="H2" s="1" t="inlineStr">
        <is>
          <t>证据文本</t>
        </is>
      </c>
    </row>
    <row r="3">
      <c r="A3" s="2" t="n">
        <v>1</v>
      </c>
      <c r="B3" s="2" t="inlineStr">
        <is>
          <t>曾烨</t>
        </is>
      </c>
      <c r="C3" s="2" t="n">
        <v>1605.93</v>
      </c>
      <c r="D3" s="2" t="inlineStr"/>
      <c r="E3" s="2" t="n">
        <v>34.93</v>
      </c>
      <c r="F3" s="2" t="inlineStr">
        <is>
          <t>自然人/实控人</t>
        </is>
      </c>
      <c r="G3" s="2" t="inlineStr"/>
      <c r="H3" s="3" t="inlineStr">
        <is>
          <t>报告期期初股权结构：曾烨1,605.93万元(34.93%)、刘云峰1,011.56万元(22.00%)、为赛咨询919.60万元(20.00%)、力源信息459.80万元(10.00%)、芜湖富拉321.86万元(7.00%)、天裕投资229.90万元(5.00%)、余华50.35万元(1.10%)</t>
        </is>
      </c>
    </row>
    <row r="4">
      <c r="A4" s="2" t="n">
        <v>2</v>
      </c>
      <c r="B4" s="2" t="inlineStr">
        <is>
          <t>刘云峰</t>
        </is>
      </c>
      <c r="C4" s="2" t="n">
        <v>1011.56</v>
      </c>
      <c r="D4" s="2" t="inlineStr"/>
      <c r="E4" s="2" t="n">
        <v>22</v>
      </c>
      <c r="F4" s="2" t="inlineStr">
        <is>
          <t>自然人</t>
        </is>
      </c>
      <c r="G4" s="2" t="inlineStr"/>
      <c r="H4" s="3" t="inlineStr">
        <is>
          <t>报告期期初股权结构：曾烨1,605.93万元(34.93%)、刘云峰1,011.56万元(22.00%)、为赛咨询919.60万元(20.00%)、力源信息459.80万元(10.00%)、芜湖富拉321.86万元(7.00%)、天裕投资229.90万元(5.00%)、余华50.35万元(1.10%)</t>
        </is>
      </c>
    </row>
    <row r="5">
      <c r="A5" s="2" t="n">
        <v>3</v>
      </c>
      <c r="B5" s="2" t="inlineStr">
        <is>
          <t>为赛咨询</t>
        </is>
      </c>
      <c r="C5" s="2" t="n">
        <v>919.6</v>
      </c>
      <c r="D5" s="2" t="inlineStr"/>
      <c r="E5" s="2" t="n">
        <v>20</v>
      </c>
      <c r="F5" s="2" t="inlineStr">
        <is>
          <t>员工持股平台</t>
        </is>
      </c>
      <c r="G5" s="2" t="inlineStr"/>
      <c r="H5" s="3" t="inlineStr">
        <is>
          <t>报告期期初股权结构：曾烨1,605.93万元(34.93%)、刘云峰1,011.56万元(22.00%)、为赛咨询919.60万元(20.00%)、力源信息459.80万元(10.00%)、芜湖富拉321.86万元(7.00%)、天裕投资229.90万元(5.00%)、余华50.35万元(1.10%)</t>
        </is>
      </c>
    </row>
    <row r="6">
      <c r="A6" s="2" t="n">
        <v>4</v>
      </c>
      <c r="B6" s="2" t="inlineStr">
        <is>
          <t>力源信息</t>
        </is>
      </c>
      <c r="C6" s="2" t="n">
        <v>459.8</v>
      </c>
      <c r="D6" s="2" t="inlineStr"/>
      <c r="E6" s="2" t="n">
        <v>10</v>
      </c>
      <c r="F6" s="2" t="inlineStr">
        <is>
          <t>上市公司</t>
        </is>
      </c>
      <c r="G6" s="2" t="inlineStr"/>
      <c r="H6" s="3" t="inlineStr">
        <is>
          <t>报告期期初股权结构：曾烨1,605.93万元(34.93%)、刘云峰1,011.56万元(22.00%)、为赛咨询919.60万元(20.00%)、力源信息459.80万元(10.00%)、芜湖富拉321.86万元(7.00%)、天裕投资229.90万元(5.00%)、余华50.35万元(1.10%)</t>
        </is>
      </c>
    </row>
    <row r="7">
      <c r="A7" s="2" t="n">
        <v>5</v>
      </c>
      <c r="B7" s="2" t="inlineStr">
        <is>
          <t>芜湖富拉</t>
        </is>
      </c>
      <c r="C7" s="2" t="n">
        <v>321.86</v>
      </c>
      <c r="D7" s="2" t="inlineStr"/>
      <c r="E7" s="2" t="n">
        <v>7</v>
      </c>
      <c r="F7" s="2" t="inlineStr">
        <is>
          <t>PE/VC</t>
        </is>
      </c>
      <c r="G7" s="2" t="inlineStr"/>
      <c r="H7" s="3" t="inlineStr">
        <is>
          <t>报告期期初股权结构：曾烨1,605.93万元(34.93%)、刘云峰1,011.56万元(22.00%)、为赛咨询919.60万元(20.00%)、力源信息459.80万元(10.00%)、芜湖富拉321.86万元(7.00%)、天裕投资229.90万元(5.00%)、余华50.35万元(1.10%)</t>
        </is>
      </c>
    </row>
    <row r="8">
      <c r="A8" s="2" t="n">
        <v>6</v>
      </c>
      <c r="B8" s="2" t="inlineStr">
        <is>
          <t>天裕投资</t>
        </is>
      </c>
      <c r="C8" s="2" t="n">
        <v>229.9</v>
      </c>
      <c r="D8" s="2" t="inlineStr"/>
      <c r="E8" s="2" t="n">
        <v>5</v>
      </c>
      <c r="F8" s="2" t="inlineStr">
        <is>
          <t>PE/VC</t>
        </is>
      </c>
      <c r="G8" s="2" t="inlineStr"/>
      <c r="H8" s="3" t="inlineStr">
        <is>
          <t>报告期期初股权结构：曾烨1,605.93万元(34.93%)、刘云峰1,011.56万元(22.00%)、为赛咨询919.60万元(20.00%)、力源信息459.80万元(10.00%)、芜湖富拉321.86万元(7.00%)、天裕投资229.90万元(5.00%)、余华50.35万元(1.10%)</t>
        </is>
      </c>
    </row>
    <row r="9">
      <c r="A9" s="2" t="n">
        <v>7</v>
      </c>
      <c r="B9" s="2" t="inlineStr">
        <is>
          <t>余华</t>
        </is>
      </c>
      <c r="C9" s="2" t="n">
        <v>50.35</v>
      </c>
      <c r="D9" s="2" t="inlineStr"/>
      <c r="E9" s="2" t="n">
        <v>1.1</v>
      </c>
      <c r="F9" s="2" t="inlineStr">
        <is>
          <t>自然人</t>
        </is>
      </c>
      <c r="G9" s="2" t="inlineStr"/>
      <c r="H9" s="3" t="inlineStr">
        <is>
          <t>报告期期初股权结构：曾烨1,605.93万元(34.93%)、刘云峰1,011.56万元(22.00%)、为赛咨询919.60万元(20.00%)、力源信息459.80万元(10.00%)、芜湖富拉321.86万元(7.00%)、天裕投资229.90万元(5.00%)、余华50.35万元(1.10%)</t>
        </is>
      </c>
    </row>
    <row r="10">
      <c r="A10" s="4" t="inlineStr">
        <is>
          <t>合计</t>
        </is>
      </c>
      <c r="B10" s="5" t="n"/>
      <c r="C10" s="4">
        <f>SUM(C3:C9)</f>
        <v/>
      </c>
      <c r="D10" s="4">
        <f>SUM(D3:D9)</f>
        <v/>
      </c>
      <c r="E10" s="4">
        <f>SUM(E3:E9)</f>
        <v/>
      </c>
      <c r="F10" s="5" t="n"/>
      <c r="G10" s="5" t="n"/>
      <c r="H10" s="5" t="n"/>
    </row>
    <row r="12">
      <c r="A12" s="6" t="inlineStr">
        <is>
          <t>t1|第一次增资后  (2019-11-04)  总股本: 5368.0 万股</t>
        </is>
      </c>
    </row>
    <row r="13">
      <c r="A13" s="1" t="inlineStr">
        <is>
          <t>序号</t>
        </is>
      </c>
      <c r="B13" s="1" t="inlineStr">
        <is>
          <t>股东名称</t>
        </is>
      </c>
      <c r="C13" s="1" t="inlineStr">
        <is>
          <t>持股数(万股)</t>
        </is>
      </c>
      <c r="D13" s="1" t="inlineStr">
        <is>
          <t>出资额(万元注册资本)</t>
        </is>
      </c>
      <c r="E13" s="1" t="inlineStr">
        <is>
          <t>持股比例(%)</t>
        </is>
      </c>
      <c r="F13" s="1" t="inlineStr">
        <is>
          <t>股东类型</t>
        </is>
      </c>
      <c r="G13" s="1" t="inlineStr">
        <is>
          <t>PDF页码</t>
        </is>
      </c>
      <c r="H13" s="1" t="inlineStr">
        <is>
          <t>证据文本</t>
        </is>
      </c>
    </row>
    <row r="14">
      <c r="A14" s="2" t="n">
        <v>1</v>
      </c>
      <c r="B14" s="2" t="inlineStr">
        <is>
          <t>曾烨</t>
        </is>
      </c>
      <c r="C14" s="2" t="n">
        <v>1605.93</v>
      </c>
      <c r="D14" s="2" t="inlineStr"/>
      <c r="E14" s="2" t="n">
        <v>29.92</v>
      </c>
      <c r="F14" s="2" t="inlineStr">
        <is>
          <t>自然人/实控人</t>
        </is>
      </c>
      <c r="G14" s="2" t="inlineStr"/>
      <c r="H14" s="3" t="inlineStr">
        <is>
          <t>本次增资完成后，总股本5,368万元。曾烨1,605.93万元(29.92%)、刘云峰1,011.56万元(18.84%)、为赛咨询919.60万元(17.13%)、力源信息459.80万元(8.57%)、国科瑞华200万元(3.73%)、芜湖富拉321.86万元(6.00%)、CASREV120万元(2.23%)、天裕投资229.90万元(4.28%)、中科贵银80万元(1.49%)、镇江红土80万元(1.49%)、深创投40万元(0.74%)、昆山红土20万元(0.37%)、富海节能20万元(0.37%)、杭州藤创10万元(0.19%)、余华50.35万元(0.94%)</t>
        </is>
      </c>
    </row>
    <row r="15">
      <c r="A15" s="2" t="n">
        <v>2</v>
      </c>
      <c r="B15" s="2" t="inlineStr">
        <is>
          <t>刘云峰</t>
        </is>
      </c>
      <c r="C15" s="2" t="n">
        <v>1011.56</v>
      </c>
      <c r="D15" s="2" t="inlineStr"/>
      <c r="E15" s="2" t="n">
        <v>18.84</v>
      </c>
      <c r="F15" s="2" t="inlineStr">
        <is>
          <t>自然人</t>
        </is>
      </c>
      <c r="G15" s="2" t="inlineStr"/>
      <c r="H15" s="3" t="inlineStr">
        <is>
          <t>本次增资完成后，总股本5,368万元。曾烨1,605.93万元(29.92%)、刘云峰1,011.56万元(18.84%)、为赛咨询919.60万元(17.13%)、力源信息459.80万元(8.57%)、国科瑞华200万元(3.73%)、芜湖富拉321.86万元(6.00%)、CASREV120万元(2.23%)、天裕投资229.90万元(4.28%)、中科贵银80万元(1.49%)、镇江红土80万元(1.49%)、深创投40万元(0.74%)、昆山红土20万元(0.37%)、富海节能20万元(0.37%)、杭州藤创10万元(0.19%)、余华50.35万元(0.94%)</t>
        </is>
      </c>
    </row>
    <row r="16">
      <c r="A16" s="2" t="n">
        <v>3</v>
      </c>
      <c r="B16" s="2" t="inlineStr">
        <is>
          <t>为赛咨询</t>
        </is>
      </c>
      <c r="C16" s="2" t="n">
        <v>919.6</v>
      </c>
      <c r="D16" s="2" t="inlineStr"/>
      <c r="E16" s="2" t="n">
        <v>17.13</v>
      </c>
      <c r="F16" s="2" t="inlineStr">
        <is>
          <t>员工持股平台</t>
        </is>
      </c>
      <c r="G16" s="2" t="inlineStr"/>
      <c r="H16" s="3" t="inlineStr">
        <is>
          <t>本次增资完成后，总股本5,368万元。曾烨1,605.93万元(29.92%)、刘云峰1,011.56万元(18.84%)、为赛咨询919.60万元(17.13%)、力源信息459.80万元(8.57%)、国科瑞华200万元(3.73%)、芜湖富拉321.86万元(6.00%)、CASREV120万元(2.23%)、天裕投资229.90万元(4.28%)、中科贵银80万元(1.49%)、镇江红土80万元(1.49%)、深创投40万元(0.74%)、昆山红土20万元(0.37%)、富海节能20万元(0.37%)、杭州藤创10万元(0.19%)、余华50.35万元(0.94%)</t>
        </is>
      </c>
    </row>
    <row r="17">
      <c r="A17" s="2" t="n">
        <v>4</v>
      </c>
      <c r="B17" s="2" t="inlineStr">
        <is>
          <t>力源信息</t>
        </is>
      </c>
      <c r="C17" s="2" t="n">
        <v>459.8</v>
      </c>
      <c r="D17" s="2" t="inlineStr"/>
      <c r="E17" s="2" t="n">
        <v>8.57</v>
      </c>
      <c r="F17" s="2" t="inlineStr">
        <is>
          <t>上市公司</t>
        </is>
      </c>
      <c r="G17" s="2" t="inlineStr"/>
      <c r="H17" s="3" t="inlineStr">
        <is>
          <t>本次增资完成后，总股本5,368万元。曾烨1,605.93万元(29.92%)、刘云峰1,011.56万元(18.84%)、为赛咨询919.60万元(17.13%)、力源信息459.80万元(8.57%)、国科瑞华200万元(3.73%)、芜湖富拉321.86万元(6.00%)、CASREV120万元(2.23%)、天裕投资229.90万元(4.28%)、中科贵银80万元(1.49%)、镇江红土80万元(1.49%)、深创投40万元(0.74%)、昆山红土20万元(0.37%)、富海节能20万元(0.37%)、杭州藤创10万元(0.19%)、余华50.35万元(0.94%)</t>
        </is>
      </c>
    </row>
    <row r="18">
      <c r="A18" s="2" t="n">
        <v>5</v>
      </c>
      <c r="B18" s="2" t="inlineStr">
        <is>
          <t>国科瑞华</t>
        </is>
      </c>
      <c r="C18" s="2" t="n">
        <v>200</v>
      </c>
      <c r="D18" s="2" t="inlineStr"/>
      <c r="E18" s="2" t="n">
        <v>3.73</v>
      </c>
      <c r="F18" s="2" t="inlineStr">
        <is>
          <t>PE/VC</t>
        </is>
      </c>
      <c r="G18" s="2" t="inlineStr"/>
      <c r="H18" s="3" t="inlineStr">
        <is>
          <t>本次增资完成后，总股本5,368万元。曾烨1,605.93万元(29.92%)、刘云峰1,011.56万元(18.84%)、为赛咨询919.60万元(17.13%)、力源信息459.80万元(8.57%)、国科瑞华200万元(3.73%)、芜湖富拉321.86万元(6.00%)、CASREV120万元(2.23%)、天裕投资229.90万元(4.28%)、中科贵银80万元(1.49%)、镇江红土80万元(1.49%)、深创投40万元(0.74%)、昆山红土20万元(0.37%)、富海节能20万元(0.37%)、杭州藤创10万元(0.19%)、余华50.35万元(0.94%)</t>
        </is>
      </c>
    </row>
    <row r="19">
      <c r="A19" s="2" t="n">
        <v>6</v>
      </c>
      <c r="B19" s="2" t="inlineStr">
        <is>
          <t>芜湖富拉</t>
        </is>
      </c>
      <c r="C19" s="2" t="n">
        <v>321.86</v>
      </c>
      <c r="D19" s="2" t="inlineStr"/>
      <c r="E19" s="2" t="n">
        <v>6</v>
      </c>
      <c r="F19" s="2" t="inlineStr">
        <is>
          <t>PE/VC</t>
        </is>
      </c>
      <c r="G19" s="2" t="inlineStr"/>
      <c r="H19" s="3" t="inlineStr">
        <is>
          <t>本次增资完成后，总股本5,368万元。曾烨1,605.93万元(29.92%)、刘云峰1,011.56万元(18.84%)、为赛咨询919.60万元(17.13%)、力源信息459.80万元(8.57%)、国科瑞华200万元(3.73%)、芜湖富拉321.86万元(6.00%)、CASREV120万元(2.23%)、天裕投资229.90万元(4.28%)、中科贵银80万元(1.49%)、镇江红土80万元(1.49%)、深创投40万元(0.74%)、昆山红土20万元(0.37%)、富海节能20万元(0.37%)、杭州藤创10万元(0.19%)、余华50.35万元(0.94%)</t>
        </is>
      </c>
    </row>
    <row r="20">
      <c r="A20" s="2" t="n">
        <v>7</v>
      </c>
      <c r="B20" s="2" t="inlineStr">
        <is>
          <t>CASREV</t>
        </is>
      </c>
      <c r="C20" s="2" t="n">
        <v>120</v>
      </c>
      <c r="D20" s="2" t="inlineStr"/>
      <c r="E20" s="2" t="n">
        <v>2.23</v>
      </c>
      <c r="F20" s="2" t="inlineStr">
        <is>
          <t>PE/VC</t>
        </is>
      </c>
      <c r="G20" s="2" t="inlineStr"/>
      <c r="H20" s="3" t="inlineStr">
        <is>
          <t>本次增资完成后，总股本5,368万元。曾烨1,605.93万元(29.92%)、刘云峰1,011.56万元(18.84%)、为赛咨询919.60万元(17.13%)、力源信息459.80万元(8.57%)、国科瑞华200万元(3.73%)、芜湖富拉321.86万元(6.00%)、CASREV120万元(2.23%)、天裕投资229.90万元(4.28%)、中科贵银80万元(1.49%)、镇江红土80万元(1.49%)、深创投40万元(0.74%)、昆山红土20万元(0.37%)、富海节能20万元(0.37%)、杭州藤创10万元(0.19%)、余华50.35万元(0.94%)</t>
        </is>
      </c>
    </row>
    <row r="21">
      <c r="A21" s="2" t="n">
        <v>8</v>
      </c>
      <c r="B21" s="2" t="inlineStr">
        <is>
          <t>天裕投资</t>
        </is>
      </c>
      <c r="C21" s="2" t="n">
        <v>229.9</v>
      </c>
      <c r="D21" s="2" t="inlineStr"/>
      <c r="E21" s="2" t="n">
        <v>4.28</v>
      </c>
      <c r="F21" s="2" t="inlineStr">
        <is>
          <t>PE/VC</t>
        </is>
      </c>
      <c r="G21" s="2" t="inlineStr"/>
      <c r="H21" s="3" t="inlineStr">
        <is>
          <t>本次增资完成后，总股本5,368万元。曾烨1,605.93万元(29.92%)、刘云峰1,011.56万元(18.84%)、为赛咨询919.60万元(17.13%)、力源信息459.80万元(8.57%)、国科瑞华200万元(3.73%)、芜湖富拉321.86万元(6.00%)、CASREV120万元(2.23%)、天裕投资229.90万元(4.28%)、中科贵银80万元(1.49%)、镇江红土80万元(1.49%)、深创投40万元(0.74%)、昆山红土20万元(0.37%)、富海节能20万元(0.37%)、杭州藤创10万元(0.19%)、余华50.35万元(0.94%)</t>
        </is>
      </c>
    </row>
    <row r="22">
      <c r="A22" s="2" t="n">
        <v>9</v>
      </c>
      <c r="B22" s="2" t="inlineStr">
        <is>
          <t>中科贵银</t>
        </is>
      </c>
      <c r="C22" s="2" t="n">
        <v>80</v>
      </c>
      <c r="D22" s="2" t="inlineStr"/>
      <c r="E22" s="2" t="n">
        <v>1.49</v>
      </c>
      <c r="F22" s="2" t="inlineStr">
        <is>
          <t>PE/VC</t>
        </is>
      </c>
      <c r="G22" s="2" t="inlineStr"/>
      <c r="H22" s="3" t="inlineStr">
        <is>
          <t>本次增资完成后，总股本5,368万元。曾烨1,605.93万元(29.92%)、刘云峰1,011.56万元(18.84%)、为赛咨询919.60万元(17.13%)、力源信息459.80万元(8.57%)、国科瑞华200万元(3.73%)、芜湖富拉321.86万元(6.00%)、CASREV120万元(2.23%)、天裕投资229.90万元(4.28%)、中科贵银80万元(1.49%)、镇江红土80万元(1.49%)、深创投40万元(0.74%)、昆山红土20万元(0.37%)、富海节能20万元(0.37%)、杭州藤创10万元(0.19%)、余华50.35万元(0.94%)</t>
        </is>
      </c>
    </row>
    <row r="23">
      <c r="A23" s="2" t="n">
        <v>10</v>
      </c>
      <c r="B23" s="2" t="inlineStr">
        <is>
          <t>镇江红土</t>
        </is>
      </c>
      <c r="C23" s="2" t="n">
        <v>80</v>
      </c>
      <c r="D23" s="2" t="inlineStr"/>
      <c r="E23" s="2" t="n">
        <v>1.49</v>
      </c>
      <c r="F23" s="2" t="inlineStr">
        <is>
          <t>PE/VC</t>
        </is>
      </c>
      <c r="G23" s="2" t="inlineStr"/>
      <c r="H23" s="3" t="inlineStr">
        <is>
          <t>本次增资完成后，总股本5,368万元。曾烨1,605.93万元(29.92%)、刘云峰1,011.56万元(18.84%)、为赛咨询919.60万元(17.13%)、力源信息459.80万元(8.57%)、国科瑞华200万元(3.73%)、芜湖富拉321.86万元(6.00%)、CASREV120万元(2.23%)、天裕投资229.90万元(4.28%)、中科贵银80万元(1.49%)、镇江红土80万元(1.49%)、深创投40万元(0.74%)、昆山红土20万元(0.37%)、富海节能20万元(0.37%)、杭州藤创10万元(0.19%)、余华50.35万元(0.94%)</t>
        </is>
      </c>
    </row>
    <row r="24">
      <c r="A24" s="2" t="n">
        <v>11</v>
      </c>
      <c r="B24" s="2" t="inlineStr">
        <is>
          <t>深创投</t>
        </is>
      </c>
      <c r="C24" s="2" t="n">
        <v>40</v>
      </c>
      <c r="D24" s="2" t="inlineStr"/>
      <c r="E24" s="2" t="n">
        <v>0.74</v>
      </c>
      <c r="F24" s="2" t="inlineStr">
        <is>
          <t>PE/VC</t>
        </is>
      </c>
      <c r="G24" s="2" t="inlineStr"/>
      <c r="H24" s="3" t="inlineStr">
        <is>
          <t>本次增资完成后，总股本5,368万元。曾烨1,605.93万元(29.92%)、刘云峰1,011.56万元(18.84%)、为赛咨询919.60万元(17.13%)、力源信息459.80万元(8.57%)、国科瑞华200万元(3.73%)、芜湖富拉321.86万元(6.00%)、CASREV120万元(2.23%)、天裕投资229.90万元(4.28%)、中科贵银80万元(1.49%)、镇江红土80万元(1.49%)、深创投40万元(0.74%)、昆山红土20万元(0.37%)、富海节能20万元(0.37%)、杭州藤创10万元(0.19%)、余华50.35万元(0.94%)</t>
        </is>
      </c>
    </row>
    <row r="25">
      <c r="A25" s="2" t="n">
        <v>12</v>
      </c>
      <c r="B25" s="2" t="inlineStr">
        <is>
          <t>昆山红土</t>
        </is>
      </c>
      <c r="C25" s="2" t="n">
        <v>20</v>
      </c>
      <c r="D25" s="2" t="inlineStr"/>
      <c r="E25" s="2" t="n">
        <v>0.37</v>
      </c>
      <c r="F25" s="2" t="inlineStr">
        <is>
          <t>PE/VC</t>
        </is>
      </c>
      <c r="G25" s="2" t="inlineStr"/>
      <c r="H25" s="3" t="inlineStr">
        <is>
          <t>本次增资完成后，总股本5,368万元。曾烨1,605.93万元(29.92%)、刘云峰1,011.56万元(18.84%)、为赛咨询919.60万元(17.13%)、力源信息459.80万元(8.57%)、国科瑞华200万元(3.73%)、芜湖富拉321.86万元(6.00%)、CASREV120万元(2.23%)、天裕投资229.90万元(4.28%)、中科贵银80万元(1.49%)、镇江红土80万元(1.49%)、深创投40万元(0.74%)、昆山红土20万元(0.37%)、富海节能20万元(0.37%)、杭州藤创10万元(0.19%)、余华50.35万元(0.94%)</t>
        </is>
      </c>
    </row>
    <row r="26">
      <c r="A26" s="2" t="n">
        <v>13</v>
      </c>
      <c r="B26" s="2" t="inlineStr">
        <is>
          <t>富海节能</t>
        </is>
      </c>
      <c r="C26" s="2" t="n">
        <v>20</v>
      </c>
      <c r="D26" s="2" t="inlineStr"/>
      <c r="E26" s="2" t="n">
        <v>0.37</v>
      </c>
      <c r="F26" s="2" t="inlineStr">
        <is>
          <t>PE/VC</t>
        </is>
      </c>
      <c r="G26" s="2" t="inlineStr"/>
      <c r="H26" s="3" t="inlineStr">
        <is>
          <t>本次增资完成后，总股本5,368万元。曾烨1,605.93万元(29.92%)、刘云峰1,011.56万元(18.84%)、为赛咨询919.60万元(17.13%)、力源信息459.80万元(8.57%)、国科瑞华200万元(3.73%)、芜湖富拉321.86万元(6.00%)、CASREV120万元(2.23%)、天裕投资229.90万元(4.28%)、中科贵银80万元(1.49%)、镇江红土80万元(1.49%)、深创投40万元(0.74%)、昆山红土20万元(0.37%)、富海节能20万元(0.37%)、杭州藤创10万元(0.19%)、余华50.35万元(0.94%)</t>
        </is>
      </c>
    </row>
    <row r="27">
      <c r="A27" s="2" t="n">
        <v>14</v>
      </c>
      <c r="B27" s="2" t="inlineStr">
        <is>
          <t>杭州藤创</t>
        </is>
      </c>
      <c r="C27" s="2" t="n">
        <v>10</v>
      </c>
      <c r="D27" s="2" t="inlineStr"/>
      <c r="E27" s="2" t="n">
        <v>0.19</v>
      </c>
      <c r="F27" s="2" t="inlineStr">
        <is>
          <t>PE/VC</t>
        </is>
      </c>
      <c r="G27" s="2" t="inlineStr"/>
      <c r="H27" s="3" t="inlineStr">
        <is>
          <t>本次增资完成后，总股本5,368万元。曾烨1,605.93万元(29.92%)、刘云峰1,011.56万元(18.84%)、为赛咨询919.60万元(17.13%)、力源信息459.80万元(8.57%)、国科瑞华200万元(3.73%)、芜湖富拉321.86万元(6.00%)、CASREV120万元(2.23%)、天裕投资229.90万元(4.28%)、中科贵银80万元(1.49%)、镇江红土80万元(1.49%)、深创投40万元(0.74%)、昆山红土20万元(0.37%)、富海节能20万元(0.37%)、杭州藤创10万元(0.19%)、余华50.35万元(0.94%)</t>
        </is>
      </c>
    </row>
    <row r="28">
      <c r="A28" s="2" t="n">
        <v>15</v>
      </c>
      <c r="B28" s="2" t="inlineStr">
        <is>
          <t>余华</t>
        </is>
      </c>
      <c r="C28" s="2" t="n">
        <v>50.35</v>
      </c>
      <c r="D28" s="2" t="inlineStr"/>
      <c r="E28" s="2" t="n">
        <v>0.9399999999999999</v>
      </c>
      <c r="F28" s="2" t="inlineStr">
        <is>
          <t>自然人</t>
        </is>
      </c>
      <c r="G28" s="2" t="inlineStr"/>
      <c r="H28" s="3" t="inlineStr">
        <is>
          <t>本次增资完成后，总股本5,368万元。曾烨1,605.93万元(29.92%)、刘云峰1,011.56万元(18.84%)、为赛咨询919.60万元(17.13%)、力源信息459.80万元(8.57%)、国科瑞华200万元(3.73%)、芜湖富拉321.86万元(6.00%)、CASREV120万元(2.23%)、天裕投资229.90万元(4.28%)、中科贵银80万元(1.49%)、镇江红土80万元(1.49%)、深创投40万元(0.74%)、昆山红土20万元(0.37%)、富海节能20万元(0.37%)、杭州藤创10万元(0.19%)、余华50.35万元(0.94%)</t>
        </is>
      </c>
    </row>
    <row r="29">
      <c r="A29" s="4" t="inlineStr">
        <is>
          <t>合计</t>
        </is>
      </c>
      <c r="B29" s="5" t="n"/>
      <c r="C29" s="4">
        <f>SUM(C14:C28)</f>
        <v/>
      </c>
      <c r="D29" s="4">
        <f>SUM(D14:D28)</f>
        <v/>
      </c>
      <c r="E29" s="4">
        <f>SUM(E14:E28)</f>
        <v/>
      </c>
      <c r="F29" s="5" t="n"/>
      <c r="G29" s="5" t="n"/>
      <c r="H29" s="5" t="n"/>
    </row>
  </sheetData>
  <mergeCells count="2">
    <mergeCell ref="A12:H1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40" customWidth="1" min="10" max="10"/>
  </cols>
  <sheetData>
    <row r="1">
      <c r="A1" s="1" t="inlineStr">
        <is>
          <t>校验项</t>
        </is>
      </c>
      <c r="B1" s="1" t="inlineStr">
        <is>
          <t>时点</t>
        </is>
      </c>
      <c r="C1" s="1" t="inlineStr">
        <is>
          <t>t0股本(A)</t>
        </is>
      </c>
      <c r="D1" s="1" t="inlineStr">
        <is>
          <t>t1股本(B)</t>
        </is>
      </c>
      <c r="E1" s="1" t="inlineStr">
        <is>
          <t>认缴合计(C)</t>
        </is>
      </c>
      <c r="F1" s="1" t="inlineStr">
        <is>
          <t>理论值(A+C)</t>
        </is>
      </c>
      <c r="G1" s="1" t="inlineStr">
        <is>
          <t>实际值(B)</t>
        </is>
      </c>
      <c r="H1" s="1" t="inlineStr">
        <is>
          <t>差额</t>
        </is>
      </c>
      <c r="I1" s="1" t="inlineStr">
        <is>
          <t>差额率</t>
        </is>
      </c>
      <c r="J1" s="1" t="inlineStr">
        <is>
          <t>复核提示</t>
        </is>
      </c>
    </row>
    <row r="2">
      <c r="A2" s="2" t="inlineStr">
        <is>
          <t>总量核对</t>
        </is>
      </c>
      <c r="B2" s="2" t="inlineStr">
        <is>
          <t>t0|报告期初→t1|第一次增资后</t>
        </is>
      </c>
      <c r="C2" s="2" t="n">
        <v>4598</v>
      </c>
      <c r="D2" s="2" t="n">
        <v>5368</v>
      </c>
      <c r="E2" s="2" t="n">
        <v>0</v>
      </c>
      <c r="F2" s="2" t="n">
        <v>4598</v>
      </c>
      <c r="G2" s="2" t="n">
        <v>5368</v>
      </c>
      <c r="H2" s="2" t="n">
        <v>770</v>
      </c>
      <c r="I2" s="2" t="inlineStr">
        <is>
          <t>14.34%</t>
        </is>
      </c>
      <c r="J2" s="2" t="inlineStr">
        <is>
          <t>❌ 差额较大，需核查是否有遗漏的增资/减资/股权转让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2026-06-11T06:42:31Z</dcterms:created>
  <dcterms:modified xmlns:dcterms="http://purl.org/dc/terms/" xmlns:xsi="http://www.w3.org/2001/XMLSchema-instance" xsi:type="dcterms:W3CDTF">2026-06-11T06:42:31Z</dcterms:modified>
</cp:coreProperties>
</file>