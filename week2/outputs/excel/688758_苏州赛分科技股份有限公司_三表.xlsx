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2021-02-24</t>
        </is>
      </c>
      <c r="D2" s="2" t="inlineStr">
        <is>
          <t>股权转让</t>
        </is>
      </c>
      <c r="E2" s="2" t="inlineStr">
        <is>
          <t>复星惟盈</t>
        </is>
      </c>
      <c r="F2" s="2" t="inlineStr">
        <is>
          <t>PE/VC</t>
        </is>
      </c>
      <c r="G2" s="2" t="n">
        <v>37.319</v>
      </c>
      <c r="H2" s="2" t="n">
        <v>1922.8571</v>
      </c>
      <c r="I2" s="2" t="n">
        <v>51.52</v>
      </c>
      <c r="J2" s="2" t="inlineStr">
        <is>
          <t>人民币</t>
        </is>
      </c>
      <c r="K2" s="2" t="inlineStr"/>
      <c r="L2" s="3" t="inlineStr">
        <is>
          <t>2021年2月24日，黄学英与复星惟盈签署股权转让协议，转让单价51.52元/注册资本，转让注册资本37.3190万元，转让价格1,922.8571万元</t>
        </is>
      </c>
    </row>
    <row r="3">
      <c r="A3" s="2" t="n">
        <v>2</v>
      </c>
      <c r="B3" s="2" t="inlineStr"/>
      <c r="C3" s="2" t="inlineStr">
        <is>
          <t>2021-02-24</t>
        </is>
      </c>
      <c r="D3" s="2" t="inlineStr">
        <is>
          <t>股权转让</t>
        </is>
      </c>
      <c r="E3" s="2" t="inlineStr">
        <is>
          <t>朱勤华</t>
        </is>
      </c>
      <c r="F3" s="2" t="inlineStr">
        <is>
          <t>自然人</t>
        </is>
      </c>
      <c r="G3" s="2" t="n">
        <v>19.4081</v>
      </c>
      <c r="H3" s="2" t="n">
        <v>1000</v>
      </c>
      <c r="I3" s="2" t="n">
        <v>51.52</v>
      </c>
      <c r="J3" s="2" t="inlineStr">
        <is>
          <t>人民币</t>
        </is>
      </c>
      <c r="K3" s="2" t="inlineStr"/>
      <c r="L3" s="3" t="inlineStr">
        <is>
          <t>黄学英将19.4081万元注册资本转让给朱勤华，转让价格1,000万元</t>
        </is>
      </c>
    </row>
    <row r="4">
      <c r="A4" s="2" t="n">
        <v>3</v>
      </c>
      <c r="B4" s="2" t="inlineStr"/>
      <c r="C4" s="2" t="inlineStr">
        <is>
          <t>2021-02-24</t>
        </is>
      </c>
      <c r="D4" s="2" t="inlineStr">
        <is>
          <t>股权转让</t>
        </is>
      </c>
      <c r="E4" s="2" t="inlineStr">
        <is>
          <t>唐斌</t>
        </is>
      </c>
      <c r="F4" s="2" t="inlineStr">
        <is>
          <t>自然人</t>
        </is>
      </c>
      <c r="G4" s="2" t="n">
        <v>0.8872</v>
      </c>
      <c r="H4" s="2" t="n">
        <v>45.7143</v>
      </c>
      <c r="I4" s="2" t="n">
        <v>51.52</v>
      </c>
      <c r="J4" s="2" t="inlineStr">
        <is>
          <t>人民币</t>
        </is>
      </c>
      <c r="K4" s="2" t="inlineStr"/>
      <c r="L4" s="3" t="inlineStr">
        <is>
          <t>黄学英将0.8872万元注册资本转让给唐斌，转让价格45.7143万元</t>
        </is>
      </c>
    </row>
    <row r="5">
      <c r="A5" s="2" t="n">
        <v>4</v>
      </c>
      <c r="B5" s="2" t="inlineStr"/>
      <c r="C5" s="2" t="inlineStr">
        <is>
          <t>2021-02-24</t>
        </is>
      </c>
      <c r="D5" s="2" t="inlineStr">
        <is>
          <t>股权转让</t>
        </is>
      </c>
      <c r="E5" s="2" t="inlineStr">
        <is>
          <t>张敏</t>
        </is>
      </c>
      <c r="F5" s="2" t="inlineStr">
        <is>
          <t>自然人</t>
        </is>
      </c>
      <c r="G5" s="2" t="n">
        <v>0.61</v>
      </c>
      <c r="H5" s="2" t="n">
        <v>31.4286</v>
      </c>
      <c r="I5" s="2" t="n">
        <v>51.52</v>
      </c>
      <c r="J5" s="2" t="inlineStr">
        <is>
          <t>人民币</t>
        </is>
      </c>
      <c r="K5" s="2" t="inlineStr"/>
      <c r="L5" s="3" t="inlineStr">
        <is>
          <t>黄学英将0.61万元注册资本转让给张敏，转让价格31.4286万元</t>
        </is>
      </c>
    </row>
    <row r="6">
      <c r="A6" s="2" t="n">
        <v>5</v>
      </c>
      <c r="B6" s="2" t="inlineStr"/>
      <c r="C6" s="2" t="inlineStr">
        <is>
          <t>2021-02-26</t>
        </is>
      </c>
      <c r="D6" s="2" t="inlineStr">
        <is>
          <t>增资</t>
        </is>
      </c>
      <c r="E6" s="2" t="inlineStr">
        <is>
          <t>国寿疌泉</t>
        </is>
      </c>
      <c r="F6" s="2" t="inlineStr">
        <is>
          <t>PE/VC</t>
        </is>
      </c>
      <c r="G6" s="2" t="n">
        <v>250.0615</v>
      </c>
      <c r="H6" s="2" t="n">
        <v>13500</v>
      </c>
      <c r="I6" s="2" t="n">
        <v>53.99</v>
      </c>
      <c r="J6" s="2" t="inlineStr">
        <is>
          <t>人民币</t>
        </is>
      </c>
      <c r="K6" s="2" t="inlineStr"/>
      <c r="L6" s="3" t="inlineStr">
        <is>
          <t>2021年2月26日，国寿疌泉与发行人签署增资协议，认缴出资额250.0615万元，增资价格53.99元/注册资本，增资金额13,500万元</t>
        </is>
      </c>
    </row>
    <row r="7">
      <c r="A7" s="2" t="n">
        <v>6</v>
      </c>
      <c r="B7" s="2" t="inlineStr"/>
      <c r="C7" s="2" t="inlineStr">
        <is>
          <t>2021-02-26</t>
        </is>
      </c>
      <c r="D7" s="2" t="inlineStr">
        <is>
          <t>增资</t>
        </is>
      </c>
      <c r="E7" s="2" t="inlineStr">
        <is>
          <t>复星惟盈</t>
        </is>
      </c>
      <c r="F7" s="2" t="inlineStr">
        <is>
          <t>PE/VC</t>
        </is>
      </c>
      <c r="G7" s="2" t="n">
        <v>89.0431</v>
      </c>
      <c r="H7" s="2" t="n">
        <v>4807.1429</v>
      </c>
      <c r="I7" s="2" t="n">
        <v>53.99</v>
      </c>
      <c r="J7" s="2" t="inlineStr">
        <is>
          <t>人民币</t>
        </is>
      </c>
      <c r="K7" s="2" t="inlineStr"/>
      <c r="L7" s="3" t="inlineStr">
        <is>
          <t>复星惟盈认缴89.0431万元，增资金额4,807.1429万元</t>
        </is>
      </c>
    </row>
    <row r="8">
      <c r="A8" s="2" t="n">
        <v>7</v>
      </c>
      <c r="B8" s="2" t="inlineStr"/>
      <c r="C8" s="2" t="inlineStr">
        <is>
          <t>2021-02-26</t>
        </is>
      </c>
      <c r="D8" s="2" t="inlineStr">
        <is>
          <t>增资</t>
        </is>
      </c>
      <c r="E8" s="2" t="inlineStr">
        <is>
          <t>唐斌</t>
        </is>
      </c>
      <c r="F8" s="2" t="inlineStr">
        <is>
          <t>自然人</t>
        </is>
      </c>
      <c r="G8" s="2" t="n">
        <v>2.1169</v>
      </c>
      <c r="H8" s="2" t="n">
        <v>114.2857</v>
      </c>
      <c r="I8" s="2" t="n">
        <v>53.99</v>
      </c>
      <c r="J8" s="2" t="inlineStr">
        <is>
          <t>人民币</t>
        </is>
      </c>
      <c r="K8" s="2" t="inlineStr"/>
      <c r="L8" s="3" t="inlineStr">
        <is>
          <t>唐斌认缴2.1169万元，增资金额114.2857万元</t>
        </is>
      </c>
    </row>
    <row r="9">
      <c r="A9" s="2" t="n">
        <v>8</v>
      </c>
      <c r="B9" s="2" t="inlineStr"/>
      <c r="C9" s="2" t="inlineStr">
        <is>
          <t>2021-02-26</t>
        </is>
      </c>
      <c r="D9" s="2" t="inlineStr">
        <is>
          <t>增资</t>
        </is>
      </c>
      <c r="E9" s="2" t="inlineStr">
        <is>
          <t>张敏</t>
        </is>
      </c>
      <c r="F9" s="2" t="inlineStr">
        <is>
          <t>自然人</t>
        </is>
      </c>
      <c r="G9" s="2" t="n">
        <v>1.4554</v>
      </c>
      <c r="H9" s="2" t="n">
        <v>78.5714</v>
      </c>
      <c r="I9" s="2" t="n">
        <v>53.99</v>
      </c>
      <c r="J9" s="2" t="inlineStr">
        <is>
          <t>人民币</t>
        </is>
      </c>
      <c r="K9" s="2" t="inlineStr"/>
      <c r="L9" s="3" t="inlineStr">
        <is>
          <t>张敏认缴1.4554万元，增资金额78.5714万元</t>
        </is>
      </c>
    </row>
    <row r="10">
      <c r="A10" s="4" t="inlineStr">
        <is>
          <t>合计</t>
        </is>
      </c>
      <c r="B10" s="5" t="n"/>
      <c r="C10" s="5" t="n"/>
      <c r="D10" s="5" t="n"/>
      <c r="E10" s="5" t="n"/>
      <c r="F10" s="5" t="n"/>
      <c r="G10" s="4">
        <f>SUM(G2:G9)</f>
        <v/>
      </c>
      <c r="H10" s="4">
        <f>SUM(H2:H9)</f>
        <v/>
      </c>
      <c r="I10" s="5" t="n"/>
      <c r="J10" s="5" t="n"/>
      <c r="K10" s="5" t="n"/>
      <c r="L1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t0|报告期初  (2021-01-01)  总股本: 2408.0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黄学英</t>
        </is>
      </c>
      <c r="C3" s="2" t="n">
        <v>883.3911000000001</v>
      </c>
      <c r="D3" s="2" t="inlineStr"/>
      <c r="E3" s="2" t="n">
        <v>36.6857</v>
      </c>
      <c r="F3" s="2" t="inlineStr">
        <is>
          <t>自然人/实控人</t>
        </is>
      </c>
      <c r="G3" s="2" t="inlineStr"/>
      <c r="H3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4">
      <c r="A4" s="2" t="n">
        <v>2</v>
      </c>
      <c r="B4" s="2" t="inlineStr">
        <is>
          <t>周金清</t>
        </is>
      </c>
      <c r="C4" s="2" t="n">
        <v>280</v>
      </c>
      <c r="D4" s="2" t="inlineStr"/>
      <c r="E4" s="2" t="n">
        <v>11.6279</v>
      </c>
      <c r="F4" s="2" t="inlineStr">
        <is>
          <t>自然人</t>
        </is>
      </c>
      <c r="G4" s="2" t="inlineStr"/>
      <c r="H4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5">
      <c r="A5" s="2" t="n">
        <v>3</v>
      </c>
      <c r="B5" s="2" t="inlineStr">
        <is>
          <t>陆民</t>
        </is>
      </c>
      <c r="C5" s="2" t="n">
        <v>257.4</v>
      </c>
      <c r="D5" s="2" t="inlineStr"/>
      <c r="E5" s="2" t="n">
        <v>10.6894</v>
      </c>
      <c r="F5" s="2" t="inlineStr">
        <is>
          <t>自然人</t>
        </is>
      </c>
      <c r="G5" s="2" t="inlineStr"/>
      <c r="H5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6">
      <c r="A6" s="2" t="n">
        <v>4</v>
      </c>
      <c r="B6" s="2" t="inlineStr">
        <is>
          <t>高新同华</t>
        </is>
      </c>
      <c r="C6" s="2" t="n">
        <v>248</v>
      </c>
      <c r="D6" s="2" t="inlineStr"/>
      <c r="E6" s="2" t="n">
        <v>10.299</v>
      </c>
      <c r="F6" s="2" t="inlineStr">
        <is>
          <t>PE/VC</t>
        </is>
      </c>
      <c r="G6" s="2" t="inlineStr"/>
      <c r="H6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7">
      <c r="A7" s="2" t="n">
        <v>5</v>
      </c>
      <c r="B7" s="2" t="inlineStr">
        <is>
          <t>华泰大健康一号</t>
        </is>
      </c>
      <c r="C7" s="2" t="n">
        <v>175.1887</v>
      </c>
      <c r="D7" s="2" t="inlineStr"/>
      <c r="E7" s="2" t="n">
        <v>7.2753</v>
      </c>
      <c r="F7" s="2" t="inlineStr">
        <is>
          <t>PE/VC</t>
        </is>
      </c>
      <c r="G7" s="2" t="inlineStr"/>
      <c r="H7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8">
      <c r="A8" s="2" t="n">
        <v>6</v>
      </c>
      <c r="B8" s="2" t="inlineStr">
        <is>
          <t>苏州贤达</t>
        </is>
      </c>
      <c r="C8" s="2" t="n">
        <v>134.15</v>
      </c>
      <c r="D8" s="2" t="inlineStr"/>
      <c r="E8" s="2" t="n">
        <v>5.571</v>
      </c>
      <c r="F8" s="2" t="inlineStr">
        <is>
          <t>PE/VC</t>
        </is>
      </c>
      <c r="G8" s="2" t="inlineStr"/>
      <c r="H8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9">
      <c r="A9" s="2" t="n">
        <v>7</v>
      </c>
      <c r="B9" s="2" t="inlineStr">
        <is>
          <t>苏州博达</t>
        </is>
      </c>
      <c r="C9" s="2" t="n">
        <v>114.9389</v>
      </c>
      <c r="D9" s="2" t="inlineStr"/>
      <c r="E9" s="2" t="n">
        <v>4.7732</v>
      </c>
      <c r="F9" s="2" t="inlineStr">
        <is>
          <t>PE/VC</t>
        </is>
      </c>
      <c r="G9" s="2" t="inlineStr"/>
      <c r="H9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0">
      <c r="A10" s="2" t="n">
        <v>8</v>
      </c>
      <c r="B10" s="2" t="inlineStr">
        <is>
          <t>复星惟盈</t>
        </is>
      </c>
      <c r="C10" s="2" t="n">
        <v>37.319</v>
      </c>
      <c r="D10" s="2" t="inlineStr"/>
      <c r="E10" s="2" t="n">
        <v>1.5498</v>
      </c>
      <c r="F10" s="2" t="inlineStr">
        <is>
          <t>PE/VC</t>
        </is>
      </c>
      <c r="G10" s="2" t="inlineStr"/>
      <c r="H10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1">
      <c r="A11" s="2" t="n">
        <v>9</v>
      </c>
      <c r="B11" s="2" t="inlineStr">
        <is>
          <t>苏州杰贤</t>
        </is>
      </c>
      <c r="C11" s="2" t="n">
        <v>69.48</v>
      </c>
      <c r="D11" s="2" t="inlineStr"/>
      <c r="E11" s="2" t="n">
        <v>2.8854</v>
      </c>
      <c r="F11" s="2" t="inlineStr">
        <is>
          <t>PE/VC</t>
        </is>
      </c>
      <c r="G11" s="2" t="inlineStr"/>
      <c r="H11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2">
      <c r="A12" s="2" t="n">
        <v>10</v>
      </c>
      <c r="B12" s="2" t="inlineStr">
        <is>
          <t>潘鼎</t>
        </is>
      </c>
      <c r="C12" s="2" t="n">
        <v>63.2</v>
      </c>
      <c r="D12" s="2" t="inlineStr"/>
      <c r="E12" s="2" t="n">
        <v>2.6246</v>
      </c>
      <c r="F12" s="2" t="inlineStr">
        <is>
          <t>自然人</t>
        </is>
      </c>
      <c r="G12" s="2" t="inlineStr"/>
      <c r="H12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3">
      <c r="A13" s="2" t="n">
        <v>11</v>
      </c>
      <c r="B13" s="2" t="inlineStr">
        <is>
          <t>海佳同康</t>
        </is>
      </c>
      <c r="C13" s="2" t="n">
        <v>47.4</v>
      </c>
      <c r="D13" s="2" t="inlineStr"/>
      <c r="E13" s="2" t="n">
        <v>1.9684</v>
      </c>
      <c r="F13" s="2" t="inlineStr">
        <is>
          <t>PE/VC</t>
        </is>
      </c>
      <c r="G13" s="2" t="inlineStr"/>
      <c r="H13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4">
      <c r="A14" s="2" t="n">
        <v>12</v>
      </c>
      <c r="B14" s="2" t="inlineStr">
        <is>
          <t>苏州敦行</t>
        </is>
      </c>
      <c r="C14" s="2" t="n">
        <v>40</v>
      </c>
      <c r="D14" s="2" t="inlineStr"/>
      <c r="E14" s="2" t="n">
        <v>1.6611</v>
      </c>
      <c r="F14" s="2" t="inlineStr">
        <is>
          <t>PE/VC</t>
        </is>
      </c>
      <c r="G14" s="2" t="inlineStr"/>
      <c r="H14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5">
      <c r="A15" s="2" t="n">
        <v>13</v>
      </c>
      <c r="B15" s="2" t="inlineStr">
        <is>
          <t>陈志华</t>
        </is>
      </c>
      <c r="C15" s="2" t="n">
        <v>30.04</v>
      </c>
      <c r="D15" s="2" t="inlineStr"/>
      <c r="E15" s="2" t="n">
        <v>1.2475</v>
      </c>
      <c r="F15" s="2" t="inlineStr">
        <is>
          <t>自然人</t>
        </is>
      </c>
      <c r="G15" s="2" t="inlineStr"/>
      <c r="H15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6">
      <c r="A16" s="2" t="n">
        <v>14</v>
      </c>
      <c r="B16" s="2" t="inlineStr">
        <is>
          <t>耿卫东</t>
        </is>
      </c>
      <c r="C16" s="2" t="n">
        <v>30</v>
      </c>
      <c r="D16" s="2" t="inlineStr"/>
      <c r="E16" s="2" t="n">
        <v>1.2458</v>
      </c>
      <c r="F16" s="2" t="inlineStr">
        <is>
          <t>自然人</t>
        </is>
      </c>
      <c r="G16" s="2" t="inlineStr"/>
      <c r="H16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7">
      <c r="A17" s="2" t="n">
        <v>15</v>
      </c>
      <c r="B17" s="2" t="inlineStr">
        <is>
          <t>骏耀投资</t>
        </is>
      </c>
      <c r="C17" s="2" t="n">
        <v>20</v>
      </c>
      <c r="D17" s="2" t="inlineStr"/>
      <c r="E17" s="2" t="n">
        <v>0.8306</v>
      </c>
      <c r="F17" s="2" t="inlineStr">
        <is>
          <t>PE/VC</t>
        </is>
      </c>
      <c r="G17" s="2" t="inlineStr"/>
      <c r="H17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8">
      <c r="A18" s="2" t="n">
        <v>16</v>
      </c>
      <c r="B18" s="2" t="inlineStr">
        <is>
          <t>道兴投资</t>
        </is>
      </c>
      <c r="C18" s="2" t="n">
        <v>2.81</v>
      </c>
      <c r="D18" s="2" t="inlineStr"/>
      <c r="E18" s="2" t="n">
        <v>0.1167</v>
      </c>
      <c r="F18" s="2" t="inlineStr">
        <is>
          <t>PE/VC</t>
        </is>
      </c>
      <c r="G18" s="2" t="inlineStr"/>
      <c r="H18" s="3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</row>
    <row r="19">
      <c r="A19" s="4" t="inlineStr">
        <is>
          <t>合计</t>
        </is>
      </c>
      <c r="B19" s="5" t="n"/>
      <c r="C19" s="4">
        <f>SUM(C3:C18)</f>
        <v/>
      </c>
      <c r="D19" s="4">
        <f>SUM(D3:D18)</f>
        <v/>
      </c>
      <c r="E19" s="4">
        <f>SUM(E3:E18)</f>
        <v/>
      </c>
      <c r="F19" s="5" t="n"/>
      <c r="G19" s="5" t="n"/>
      <c r="H19" s="5" t="n"/>
    </row>
    <row r="21">
      <c r="A21" s="6" t="inlineStr">
        <is>
          <t>t1|第一次增资后  (2021-04-20)  总股本: 2750.6769 万股</t>
        </is>
      </c>
    </row>
    <row r="22">
      <c r="A22" s="1" t="inlineStr">
        <is>
          <t>序号</t>
        </is>
      </c>
      <c r="B22" s="1" t="inlineStr">
        <is>
          <t>股东名称</t>
        </is>
      </c>
      <c r="C22" s="1" t="inlineStr">
        <is>
          <t>持股数(万股)</t>
        </is>
      </c>
      <c r="D22" s="1" t="inlineStr">
        <is>
          <t>出资额(万元注册资本)</t>
        </is>
      </c>
      <c r="E22" s="1" t="inlineStr">
        <is>
          <t>持股比例(%)</t>
        </is>
      </c>
      <c r="F22" s="1" t="inlineStr">
        <is>
          <t>股东类型</t>
        </is>
      </c>
      <c r="G22" s="1" t="inlineStr">
        <is>
          <t>PDF页码</t>
        </is>
      </c>
      <c r="H22" s="1" t="inlineStr">
        <is>
          <t>证据文本</t>
        </is>
      </c>
    </row>
    <row r="23">
      <c r="A23" s="2" t="n">
        <v>1</v>
      </c>
      <c r="B23" s="2" t="inlineStr">
        <is>
          <t>黄学英</t>
        </is>
      </c>
      <c r="C23" s="2" t="n">
        <v>825.1668</v>
      </c>
      <c r="D23" s="2" t="inlineStr"/>
      <c r="E23" s="2" t="n">
        <v>29.9987</v>
      </c>
      <c r="F23" s="2" t="inlineStr">
        <is>
          <t>自然人/实控人</t>
        </is>
      </c>
      <c r="G23" s="2" t="inlineStr"/>
      <c r="H23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24">
      <c r="A24" s="2" t="n">
        <v>2</v>
      </c>
      <c r="B24" s="2" t="inlineStr">
        <is>
          <t>周金清</t>
        </is>
      </c>
      <c r="C24" s="2" t="n">
        <v>280</v>
      </c>
      <c r="D24" s="2" t="inlineStr"/>
      <c r="E24" s="2" t="n">
        <v>10.1793</v>
      </c>
      <c r="F24" s="2" t="inlineStr">
        <is>
          <t>自然人</t>
        </is>
      </c>
      <c r="G24" s="2" t="inlineStr"/>
      <c r="H24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25">
      <c r="A25" s="2" t="n">
        <v>3</v>
      </c>
      <c r="B25" s="2" t="inlineStr">
        <is>
          <t>陆民</t>
        </is>
      </c>
      <c r="C25" s="2" t="n">
        <v>257.4</v>
      </c>
      <c r="D25" s="2" t="inlineStr"/>
      <c r="E25" s="2" t="n">
        <v>9.357699999999999</v>
      </c>
      <c r="F25" s="2" t="inlineStr">
        <is>
          <t>自然人</t>
        </is>
      </c>
      <c r="G25" s="2" t="inlineStr"/>
      <c r="H25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26">
      <c r="A26" s="2" t="n">
        <v>4</v>
      </c>
      <c r="B26" s="2" t="inlineStr">
        <is>
          <t>国寿疌泉</t>
        </is>
      </c>
      <c r="C26" s="2" t="n">
        <v>250.0615</v>
      </c>
      <c r="D26" s="2" t="inlineStr"/>
      <c r="E26" s="2" t="n">
        <v>9.0909</v>
      </c>
      <c r="F26" s="2" t="inlineStr">
        <is>
          <t>PE/VC</t>
        </is>
      </c>
      <c r="G26" s="2" t="inlineStr"/>
      <c r="H26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27">
      <c r="A27" s="2" t="n">
        <v>5</v>
      </c>
      <c r="B27" s="2" t="inlineStr">
        <is>
          <t>高新同华</t>
        </is>
      </c>
      <c r="C27" s="2" t="n">
        <v>248</v>
      </c>
      <c r="D27" s="2" t="inlineStr"/>
      <c r="E27" s="2" t="n">
        <v>9.016</v>
      </c>
      <c r="F27" s="2" t="inlineStr">
        <is>
          <t>PE/VC</t>
        </is>
      </c>
      <c r="G27" s="2" t="inlineStr"/>
      <c r="H27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28">
      <c r="A28" s="2" t="n">
        <v>6</v>
      </c>
      <c r="B28" s="2" t="inlineStr">
        <is>
          <t>华泰大健康一号</t>
        </is>
      </c>
      <c r="C28" s="2" t="n">
        <v>175.1887</v>
      </c>
      <c r="D28" s="2" t="inlineStr"/>
      <c r="E28" s="2" t="n">
        <v>6.3689</v>
      </c>
      <c r="F28" s="2" t="inlineStr">
        <is>
          <t>PE/VC</t>
        </is>
      </c>
      <c r="G28" s="2" t="inlineStr"/>
      <c r="H28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29">
      <c r="A29" s="2" t="n">
        <v>7</v>
      </c>
      <c r="B29" s="2" t="inlineStr">
        <is>
          <t>苏州贤达</t>
        </is>
      </c>
      <c r="C29" s="2" t="n">
        <v>134.15</v>
      </c>
      <c r="D29" s="2" t="inlineStr"/>
      <c r="E29" s="2" t="n">
        <v>4.877</v>
      </c>
      <c r="F29" s="2" t="inlineStr">
        <is>
          <t>PE/VC</t>
        </is>
      </c>
      <c r="G29" s="2" t="inlineStr"/>
      <c r="H29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0">
      <c r="A30" s="2" t="n">
        <v>8</v>
      </c>
      <c r="B30" s="2" t="inlineStr">
        <is>
          <t>苏州博达</t>
        </is>
      </c>
      <c r="C30" s="2" t="n">
        <v>114.9389</v>
      </c>
      <c r="D30" s="2" t="inlineStr"/>
      <c r="E30" s="2" t="n">
        <v>4.1786</v>
      </c>
      <c r="F30" s="2" t="inlineStr">
        <is>
          <t>PE/VC</t>
        </is>
      </c>
      <c r="G30" s="2" t="inlineStr"/>
      <c r="H30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1">
      <c r="A31" s="2" t="n">
        <v>9</v>
      </c>
      <c r="B31" s="2" t="inlineStr">
        <is>
          <t>复星惟盈</t>
        </is>
      </c>
      <c r="C31" s="2" t="n">
        <v>126.3621</v>
      </c>
      <c r="D31" s="2" t="inlineStr"/>
      <c r="E31" s="2" t="n">
        <v>4.5939</v>
      </c>
      <c r="F31" s="2" t="inlineStr">
        <is>
          <t>PE/VC</t>
        </is>
      </c>
      <c r="G31" s="2" t="inlineStr"/>
      <c r="H31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2">
      <c r="A32" s="2" t="n">
        <v>10</v>
      </c>
      <c r="B32" s="2" t="inlineStr">
        <is>
          <t>苏州杰贤</t>
        </is>
      </c>
      <c r="C32" s="2" t="n">
        <v>69.48</v>
      </c>
      <c r="D32" s="2" t="inlineStr"/>
      <c r="E32" s="2" t="n">
        <v>2.5259</v>
      </c>
      <c r="F32" s="2" t="inlineStr">
        <is>
          <t>PE/VC</t>
        </is>
      </c>
      <c r="G32" s="2" t="inlineStr"/>
      <c r="H32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3">
      <c r="A33" s="2" t="n">
        <v>11</v>
      </c>
      <c r="B33" s="2" t="inlineStr">
        <is>
          <t>潘鼎</t>
        </is>
      </c>
      <c r="C33" s="2" t="n">
        <v>63.2</v>
      </c>
      <c r="D33" s="2" t="inlineStr"/>
      <c r="E33" s="2" t="n">
        <v>2.2976</v>
      </c>
      <c r="F33" s="2" t="inlineStr">
        <is>
          <t>自然人</t>
        </is>
      </c>
      <c r="G33" s="2" t="inlineStr"/>
      <c r="H33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4">
      <c r="A34" s="2" t="n">
        <v>12</v>
      </c>
      <c r="B34" s="2" t="inlineStr">
        <is>
          <t>海佳同康</t>
        </is>
      </c>
      <c r="C34" s="2" t="n">
        <v>47.4</v>
      </c>
      <c r="D34" s="2" t="inlineStr"/>
      <c r="E34" s="2" t="n">
        <v>1.7232</v>
      </c>
      <c r="F34" s="2" t="inlineStr">
        <is>
          <t>PE/VC</t>
        </is>
      </c>
      <c r="G34" s="2" t="inlineStr"/>
      <c r="H34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5">
      <c r="A35" s="2" t="n">
        <v>13</v>
      </c>
      <c r="B35" s="2" t="inlineStr">
        <is>
          <t>苏州敦行</t>
        </is>
      </c>
      <c r="C35" s="2" t="n">
        <v>40</v>
      </c>
      <c r="D35" s="2" t="inlineStr"/>
      <c r="E35" s="2" t="n">
        <v>1.4542</v>
      </c>
      <c r="F35" s="2" t="inlineStr">
        <is>
          <t>PE/VC</t>
        </is>
      </c>
      <c r="G35" s="2" t="inlineStr"/>
      <c r="H35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6">
      <c r="A36" s="2" t="n">
        <v>14</v>
      </c>
      <c r="B36" s="2" t="inlineStr">
        <is>
          <t>陈志华</t>
        </is>
      </c>
      <c r="C36" s="2" t="n">
        <v>30.04</v>
      </c>
      <c r="D36" s="2" t="inlineStr"/>
      <c r="E36" s="2" t="n">
        <v>1.0921</v>
      </c>
      <c r="F36" s="2" t="inlineStr">
        <is>
          <t>自然人</t>
        </is>
      </c>
      <c r="G36" s="2" t="inlineStr"/>
      <c r="H36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7">
      <c r="A37" s="2" t="n">
        <v>15</v>
      </c>
      <c r="B37" s="2" t="inlineStr">
        <is>
          <t>耿卫东</t>
        </is>
      </c>
      <c r="C37" s="2" t="n">
        <v>30</v>
      </c>
      <c r="D37" s="2" t="inlineStr"/>
      <c r="E37" s="2" t="n">
        <v>1.0906</v>
      </c>
      <c r="F37" s="2" t="inlineStr">
        <is>
          <t>自然人</t>
        </is>
      </c>
      <c r="G37" s="2" t="inlineStr"/>
      <c r="H37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8">
      <c r="A38" s="2" t="n">
        <v>16</v>
      </c>
      <c r="B38" s="2" t="inlineStr">
        <is>
          <t>骏耀投资</t>
        </is>
      </c>
      <c r="C38" s="2" t="n">
        <v>20</v>
      </c>
      <c r="D38" s="2" t="inlineStr"/>
      <c r="E38" s="2" t="n">
        <v>0.7271</v>
      </c>
      <c r="F38" s="2" t="inlineStr">
        <is>
          <t>PE/VC</t>
        </is>
      </c>
      <c r="G38" s="2" t="inlineStr"/>
      <c r="H38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39">
      <c r="A39" s="2" t="n">
        <v>17</v>
      </c>
      <c r="B39" s="2" t="inlineStr">
        <is>
          <t>朱勤华</t>
        </is>
      </c>
      <c r="C39" s="2" t="n">
        <v>19.4081</v>
      </c>
      <c r="D39" s="2" t="inlineStr"/>
      <c r="E39" s="2" t="n">
        <v>0.7056</v>
      </c>
      <c r="F39" s="2" t="inlineStr">
        <is>
          <t>自然人</t>
        </is>
      </c>
      <c r="G39" s="2" t="inlineStr"/>
      <c r="H39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40">
      <c r="A40" s="2" t="n">
        <v>18</v>
      </c>
      <c r="B40" s="2" t="inlineStr">
        <is>
          <t>华泰大健康二号</t>
        </is>
      </c>
      <c r="C40" s="2" t="n">
        <v>12.0034</v>
      </c>
      <c r="D40" s="2" t="inlineStr"/>
      <c r="E40" s="2" t="n">
        <v>0.4364</v>
      </c>
      <c r="F40" s="2" t="inlineStr">
        <is>
          <t>PE/VC</t>
        </is>
      </c>
      <c r="G40" s="2" t="inlineStr"/>
      <c r="H40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41">
      <c r="A41" s="2" t="n">
        <v>19</v>
      </c>
      <c r="B41" s="2" t="inlineStr">
        <is>
          <t>道兴投资</t>
        </is>
      </c>
      <c r="C41" s="2" t="n">
        <v>2.8079</v>
      </c>
      <c r="D41" s="2" t="inlineStr"/>
      <c r="E41" s="2" t="n">
        <v>0.1021</v>
      </c>
      <c r="F41" s="2" t="inlineStr">
        <is>
          <t>PE/VC</t>
        </is>
      </c>
      <c r="G41" s="2" t="inlineStr"/>
      <c r="H41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42">
      <c r="A42" s="2" t="n">
        <v>20</v>
      </c>
      <c r="B42" s="2" t="inlineStr">
        <is>
          <t>唐斌</t>
        </is>
      </c>
      <c r="C42" s="2" t="n">
        <v>3.0041</v>
      </c>
      <c r="D42" s="2" t="inlineStr"/>
      <c r="E42" s="2" t="n">
        <v>0.1092</v>
      </c>
      <c r="F42" s="2" t="inlineStr">
        <is>
          <t>自然人</t>
        </is>
      </c>
      <c r="G42" s="2" t="inlineStr"/>
      <c r="H42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43">
      <c r="A43" s="2" t="n">
        <v>21</v>
      </c>
      <c r="B43" s="2" t="inlineStr">
        <is>
          <t>张敏</t>
        </is>
      </c>
      <c r="C43" s="2" t="n">
        <v>2.0654</v>
      </c>
      <c r="D43" s="2" t="inlineStr"/>
      <c r="E43" s="2" t="n">
        <v>0.0751</v>
      </c>
      <c r="F43" s="2" t="inlineStr">
        <is>
          <t>自然人</t>
        </is>
      </c>
      <c r="G43" s="2" t="inlineStr"/>
      <c r="H43" s="3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</row>
    <row r="44">
      <c r="A44" s="4" t="inlineStr">
        <is>
          <t>合计</t>
        </is>
      </c>
      <c r="B44" s="5" t="n"/>
      <c r="C44" s="4">
        <f>SUM(C23:C43)</f>
        <v/>
      </c>
      <c r="D44" s="4">
        <f>SUM(D23:D43)</f>
        <v/>
      </c>
      <c r="E44" s="4">
        <f>SUM(E23:E43)</f>
        <v/>
      </c>
      <c r="F44" s="5" t="n"/>
      <c r="G44" s="5" t="n"/>
      <c r="H44" s="5" t="n"/>
    </row>
  </sheetData>
  <mergeCells count="2">
    <mergeCell ref="A21:H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t0|报告期初→t1|第一次增资后</t>
        </is>
      </c>
      <c r="C2" s="2" t="n">
        <v>2408</v>
      </c>
      <c r="D2" s="2" t="n">
        <v>2750.6769</v>
      </c>
      <c r="E2" s="2" t="n">
        <v>0</v>
      </c>
      <c r="F2" s="2" t="n">
        <v>2408</v>
      </c>
      <c r="G2" s="2" t="n">
        <v>2750.6769</v>
      </c>
      <c r="H2" s="2" t="n">
        <v>342.6768999999999</v>
      </c>
      <c r="I2" s="2" t="inlineStr">
        <is>
          <t>12.46%</t>
        </is>
      </c>
      <c r="J2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2026-06-11T06:42:32Z</dcterms:created>
  <dcterms:modified xmlns:dcterms="http://purl.org/dc/terms/" xmlns:xsi="http://www.w3.org/2001/XMLSchema-instance" xsi:type="dcterms:W3CDTF">2026-06-11T06:42:32Z</dcterms:modified>
</cp:coreProperties>
</file>