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表" sheetId="1" state="visible" r:id="rId1"/>
    <sheet xmlns:r="http://schemas.openxmlformats.org/officeDocument/2006/relationships" name="股权结构存量表" sheetId="2" state="visible" r:id="rId2"/>
    <sheet xmlns:r="http://schemas.openxmlformats.org/officeDocument/2006/relationships" name="Cross-check校验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</cols>
  <sheetData>
    <row r="1">
      <c r="A1" s="1" t="inlineStr">
        <is>
          <t>序号</t>
        </is>
      </c>
      <c r="B1" s="1" t="inlineStr">
        <is>
          <t>时点</t>
        </is>
      </c>
      <c r="C1" s="1" t="inlineStr">
        <is>
          <t>日期</t>
        </is>
      </c>
      <c r="D1" s="1" t="inlineStr">
        <is>
          <t>事件类型</t>
        </is>
      </c>
      <c r="E1" s="1" t="inlineStr">
        <is>
          <t>投资者名称</t>
        </is>
      </c>
      <c r="F1" s="1" t="inlineStr">
        <is>
          <t>投资者类型</t>
        </is>
      </c>
      <c r="G1" s="1" t="inlineStr">
        <is>
          <t>认缴数量(万股)</t>
        </is>
      </c>
      <c r="H1" s="1" t="inlineStr">
        <is>
          <t>认缴金额(万元)</t>
        </is>
      </c>
      <c r="I1" s="1" t="inlineStr">
        <is>
          <t>认缴价格(元/股)</t>
        </is>
      </c>
      <c r="J1" s="1" t="inlineStr">
        <is>
          <t>出资方式</t>
        </is>
      </c>
      <c r="K1" s="1" t="inlineStr">
        <is>
          <t>PDF页码</t>
        </is>
      </c>
      <c r="L1" s="1" t="inlineStr">
        <is>
          <t>证据文本</t>
        </is>
      </c>
    </row>
    <row r="2">
      <c r="A2" s="2" t="n">
        <v>1</v>
      </c>
      <c r="B2" s="2" t="inlineStr"/>
      <c r="C2" s="2" t="inlineStr">
        <is>
          <t>2020-09-18</t>
        </is>
      </c>
      <c r="D2" s="2" t="inlineStr">
        <is>
          <t>整体变更</t>
        </is>
      </c>
      <c r="E2" s="2" t="inlineStr">
        <is>
          <t>整体变更折股</t>
        </is>
      </c>
      <c r="F2" s="2" t="inlineStr">
        <is>
          <t>股改</t>
        </is>
      </c>
      <c r="G2" s="2" t="n">
        <v>12000</v>
      </c>
      <c r="H2" s="2" t="n">
        <v>10950.2788</v>
      </c>
      <c r="I2" s="2" t="n">
        <v>0.9125</v>
      </c>
      <c r="J2" s="2" t="inlineStr">
        <is>
          <t>人民币</t>
        </is>
      </c>
      <c r="K2" s="2" t="n">
        <v>43</v>
      </c>
      <c r="L2" s="3" t="inlineStr">
        <is>
          <t>2020年9月18日，友升有限整体变更为股份有限公司，以截至2020年7月31日经审计的净资产10,950.28万元折合为股本12,000万股，每股面值1元，净资产超出股本部分计入资本公积</t>
        </is>
      </c>
    </row>
    <row r="3">
      <c r="A3" s="2" t="n">
        <v>2</v>
      </c>
      <c r="B3" s="2" t="inlineStr"/>
      <c r="C3" s="2" t="inlineStr">
        <is>
          <t>2020-09-27</t>
        </is>
      </c>
      <c r="D3" s="2" t="inlineStr">
        <is>
          <t>增资</t>
        </is>
      </c>
      <c r="E3" s="2" t="inlineStr">
        <is>
          <t>金浦临港基金</t>
        </is>
      </c>
      <c r="F3" s="2" t="inlineStr">
        <is>
          <t>PE/VC</t>
        </is>
      </c>
      <c r="G3" s="2" t="n">
        <v>840</v>
      </c>
      <c r="H3" s="2" t="n">
        <v>7000</v>
      </c>
      <c r="I3" s="2" t="n">
        <v>8.333299999999999</v>
      </c>
      <c r="J3" s="2" t="inlineStr">
        <is>
          <t>人民币</t>
        </is>
      </c>
      <c r="K3" s="2" t="n">
        <v>44</v>
      </c>
      <c r="L3" s="3" t="inlineStr">
        <is>
          <t>金浦临港基金以7,000万元认购新增注册资本840万元</t>
        </is>
      </c>
    </row>
    <row r="4">
      <c r="A4" s="2" t="n">
        <v>3</v>
      </c>
      <c r="B4" s="2" t="inlineStr"/>
      <c r="C4" s="2" t="inlineStr">
        <is>
          <t>2020-09-27</t>
        </is>
      </c>
      <c r="D4" s="2" t="inlineStr">
        <is>
          <t>增资</t>
        </is>
      </c>
      <c r="E4" s="2" t="inlineStr">
        <is>
          <t>金浦科创基金</t>
        </is>
      </c>
      <c r="F4" s="2" t="inlineStr">
        <is>
          <t>PE/VC</t>
        </is>
      </c>
      <c r="G4" s="2" t="n">
        <v>360</v>
      </c>
      <c r="H4" s="2" t="n">
        <v>3000</v>
      </c>
      <c r="I4" s="2" t="n">
        <v>8.333299999999999</v>
      </c>
      <c r="J4" s="2" t="inlineStr">
        <is>
          <t>人民币</t>
        </is>
      </c>
      <c r="K4" s="2" t="n">
        <v>44</v>
      </c>
      <c r="L4" s="3" t="inlineStr">
        <is>
          <t>金浦科创基金以3,000万元认购新增注册资本360万元</t>
        </is>
      </c>
    </row>
    <row r="5">
      <c r="A5" s="2" t="n">
        <v>4</v>
      </c>
      <c r="B5" s="2" t="inlineStr"/>
      <c r="C5" s="2" t="inlineStr">
        <is>
          <t>2020-09-27</t>
        </is>
      </c>
      <c r="D5" s="2" t="inlineStr">
        <is>
          <t>增资</t>
        </is>
      </c>
      <c r="E5" s="2" t="inlineStr">
        <is>
          <t>上海骁墨</t>
        </is>
      </c>
      <c r="F5" s="2" t="inlineStr">
        <is>
          <t>PE/VC</t>
        </is>
      </c>
      <c r="G5" s="2" t="n">
        <v>180</v>
      </c>
      <c r="H5" s="2" t="n">
        <v>1500</v>
      </c>
      <c r="I5" s="2" t="n">
        <v>8.333299999999999</v>
      </c>
      <c r="J5" s="2" t="inlineStr">
        <is>
          <t>人民币</t>
        </is>
      </c>
      <c r="K5" s="2" t="n">
        <v>44</v>
      </c>
      <c r="L5" s="3" t="inlineStr">
        <is>
          <t>上海骁墨以1,500万元认购新增注册资本180万元</t>
        </is>
      </c>
    </row>
    <row r="6">
      <c r="A6" s="2" t="n">
        <v>5</v>
      </c>
      <c r="B6" s="2" t="inlineStr"/>
      <c r="C6" s="2" t="inlineStr">
        <is>
          <t>2022-12-19</t>
        </is>
      </c>
      <c r="D6" s="2" t="inlineStr">
        <is>
          <t>增资</t>
        </is>
      </c>
      <c r="E6" s="2" t="inlineStr">
        <is>
          <t>杉晖创业</t>
        </is>
      </c>
      <c r="F6" s="2" t="inlineStr">
        <is>
          <t>PE/VC</t>
        </is>
      </c>
      <c r="G6" s="2" t="n">
        <v>297.3333</v>
      </c>
      <c r="H6" s="2" t="n">
        <v>10000</v>
      </c>
      <c r="I6" s="2" t="n">
        <v>33.6323</v>
      </c>
      <c r="J6" s="2" t="inlineStr">
        <is>
          <t>人民币</t>
        </is>
      </c>
      <c r="K6" s="2" t="n">
        <v>45</v>
      </c>
      <c r="L6" s="3" t="inlineStr">
        <is>
          <t>杉晖创业认购297.3333万股且认购金额10000.0万元</t>
        </is>
      </c>
    </row>
    <row r="7">
      <c r="A7" s="2" t="n">
        <v>6</v>
      </c>
      <c r="B7" s="2" t="inlineStr"/>
      <c r="C7" s="2" t="inlineStr">
        <is>
          <t>2022-12-19</t>
        </is>
      </c>
      <c r="D7" s="2" t="inlineStr">
        <is>
          <t>增资</t>
        </is>
      </c>
      <c r="E7" s="2" t="inlineStr">
        <is>
          <t>上海联炻</t>
        </is>
      </c>
      <c r="F7" s="2" t="inlineStr">
        <is>
          <t>PE/VC</t>
        </is>
      </c>
      <c r="G7" s="2" t="n">
        <v>297.3333</v>
      </c>
      <c r="H7" s="2" t="n">
        <v>10000</v>
      </c>
      <c r="I7" s="2" t="n">
        <v>33.6323</v>
      </c>
      <c r="J7" s="2" t="inlineStr">
        <is>
          <t>人民币</t>
        </is>
      </c>
      <c r="K7" s="2" t="n">
        <v>45</v>
      </c>
      <c r="L7" s="3" t="inlineStr">
        <is>
          <t>上海联炻认购297.3333万股且认购金额10000.0万元</t>
        </is>
      </c>
    </row>
    <row r="8">
      <c r="A8" s="2" t="n">
        <v>7</v>
      </c>
      <c r="B8" s="2" t="inlineStr"/>
      <c r="C8" s="2" t="inlineStr">
        <is>
          <t>2022-12-19</t>
        </is>
      </c>
      <c r="D8" s="2" t="inlineStr">
        <is>
          <t>增资</t>
        </is>
      </c>
      <c r="E8" s="2" t="inlineStr">
        <is>
          <t>安吉璞颉</t>
        </is>
      </c>
      <c r="F8" s="2" t="inlineStr">
        <is>
          <t>PE/VC</t>
        </is>
      </c>
      <c r="G8" s="2" t="n">
        <v>148.6667</v>
      </c>
      <c r="H8" s="2" t="n">
        <v>5000</v>
      </c>
      <c r="I8" s="2" t="n">
        <v>33.6323</v>
      </c>
      <c r="J8" s="2" t="inlineStr">
        <is>
          <t>人民币</t>
        </is>
      </c>
      <c r="K8" s="2" t="n">
        <v>45</v>
      </c>
      <c r="L8" s="3" t="inlineStr">
        <is>
          <t>安吉璞颉认购148.6667万股且认购金额5000.0万元</t>
        </is>
      </c>
    </row>
    <row r="9">
      <c r="A9" s="2" t="n">
        <v>8</v>
      </c>
      <c r="B9" s="2" t="inlineStr"/>
      <c r="C9" s="2" t="inlineStr">
        <is>
          <t>2022-12-19</t>
        </is>
      </c>
      <c r="D9" s="2" t="inlineStr">
        <is>
          <t>增资</t>
        </is>
      </c>
      <c r="E9" s="2" t="inlineStr">
        <is>
          <t>财投晨源</t>
        </is>
      </c>
      <c r="F9" s="2" t="inlineStr">
        <is>
          <t>PE/VC</t>
        </is>
      </c>
      <c r="G9" s="2" t="n">
        <v>89.2</v>
      </c>
      <c r="H9" s="2" t="n">
        <v>3000</v>
      </c>
      <c r="I9" s="2" t="n">
        <v>33.6323</v>
      </c>
      <c r="J9" s="2" t="inlineStr">
        <is>
          <t>人民币</t>
        </is>
      </c>
      <c r="K9" s="2" t="n">
        <v>45</v>
      </c>
      <c r="L9" s="3" t="inlineStr">
        <is>
          <t>财投晨源认购89.2万股且认购金额3000.0万元</t>
        </is>
      </c>
    </row>
    <row r="10">
      <c r="A10" s="2" t="n">
        <v>9</v>
      </c>
      <c r="B10" s="2" t="inlineStr"/>
      <c r="C10" s="2" t="inlineStr">
        <is>
          <t>2022-12-19</t>
        </is>
      </c>
      <c r="D10" s="2" t="inlineStr">
        <is>
          <t>增资</t>
        </is>
      </c>
      <c r="E10" s="2" t="inlineStr">
        <is>
          <t>深圳达晨创程</t>
        </is>
      </c>
      <c r="F10" s="2" t="inlineStr">
        <is>
          <t>PE/VC</t>
        </is>
      </c>
      <c r="G10" s="2" t="n">
        <v>86.5984</v>
      </c>
      <c r="H10" s="2" t="n">
        <v>2912.5</v>
      </c>
      <c r="I10" s="2" t="n">
        <v>33.6323</v>
      </c>
      <c r="J10" s="2" t="inlineStr">
        <is>
          <t>人民币</t>
        </is>
      </c>
      <c r="K10" s="2" t="n">
        <v>45</v>
      </c>
      <c r="L10" s="3" t="inlineStr">
        <is>
          <t>深圳达晨创程认购86.5984万股且认购金额2912.5万元</t>
        </is>
      </c>
    </row>
    <row r="11">
      <c r="A11" s="2" t="n">
        <v>10</v>
      </c>
      <c r="B11" s="2" t="inlineStr"/>
      <c r="C11" s="2" t="inlineStr">
        <is>
          <t>2022-12-19</t>
        </is>
      </c>
      <c r="D11" s="2" t="inlineStr">
        <is>
          <t>增资</t>
        </is>
      </c>
      <c r="E11" s="2" t="inlineStr">
        <is>
          <t>杉创智至</t>
        </is>
      </c>
      <c r="F11" s="2" t="inlineStr">
        <is>
          <t>PE/VC</t>
        </is>
      </c>
      <c r="G11" s="2" t="n">
        <v>59.4667</v>
      </c>
      <c r="H11" s="2" t="n">
        <v>2000</v>
      </c>
      <c r="I11" s="2" t="n">
        <v>33.6323</v>
      </c>
      <c r="J11" s="2" t="inlineStr">
        <is>
          <t>人民币</t>
        </is>
      </c>
      <c r="K11" s="2" t="n">
        <v>45</v>
      </c>
      <c r="L11" s="3" t="inlineStr">
        <is>
          <t>杉创智至认购59.4667万股且认购金额2000.0万元</t>
        </is>
      </c>
    </row>
    <row r="12">
      <c r="A12" s="2" t="n">
        <v>11</v>
      </c>
      <c r="B12" s="2" t="inlineStr"/>
      <c r="C12" s="2" t="inlineStr">
        <is>
          <t>2022-12-19</t>
        </is>
      </c>
      <c r="D12" s="2" t="inlineStr">
        <is>
          <t>增资</t>
        </is>
      </c>
      <c r="E12" s="2" t="inlineStr">
        <is>
          <t>杭州达晨创程</t>
        </is>
      </c>
      <c r="F12" s="2" t="inlineStr">
        <is>
          <t>PE/VC</t>
        </is>
      </c>
      <c r="G12" s="2" t="n">
        <v>51.959</v>
      </c>
      <c r="H12" s="2" t="n">
        <v>1747.5</v>
      </c>
      <c r="I12" s="2" t="n">
        <v>33.6323</v>
      </c>
      <c r="J12" s="2" t="inlineStr">
        <is>
          <t>人民币</t>
        </is>
      </c>
      <c r="K12" s="2" t="n">
        <v>45</v>
      </c>
      <c r="L12" s="3" t="inlineStr">
        <is>
          <t>杭州达晨创程认购51.959万股且认购金额1747.5万元</t>
        </is>
      </c>
    </row>
    <row r="13">
      <c r="A13" s="2" t="n">
        <v>12</v>
      </c>
      <c r="B13" s="2" t="inlineStr"/>
      <c r="C13" s="2" t="inlineStr">
        <is>
          <t>2022-12-19</t>
        </is>
      </c>
      <c r="D13" s="2" t="inlineStr">
        <is>
          <t>增资</t>
        </is>
      </c>
      <c r="E13" s="2" t="inlineStr">
        <is>
          <t>达晨财汇</t>
        </is>
      </c>
      <c r="F13" s="2" t="inlineStr">
        <is>
          <t>PE/VC</t>
        </is>
      </c>
      <c r="G13" s="2" t="n">
        <v>29.7333</v>
      </c>
      <c r="H13" s="2" t="n">
        <v>1000</v>
      </c>
      <c r="I13" s="2" t="n">
        <v>33.6323</v>
      </c>
      <c r="J13" s="2" t="inlineStr">
        <is>
          <t>人民币</t>
        </is>
      </c>
      <c r="K13" s="2" t="n">
        <v>45</v>
      </c>
      <c r="L13" s="3" t="inlineStr">
        <is>
          <t>达晨财汇认购29.7333万股且认购金额1000.0万元</t>
        </is>
      </c>
    </row>
    <row r="14">
      <c r="A14" s="2" t="n">
        <v>13</v>
      </c>
      <c r="B14" s="2" t="inlineStr"/>
      <c r="C14" s="2" t="inlineStr">
        <is>
          <t>2022-12-19</t>
        </is>
      </c>
      <c r="D14" s="2" t="inlineStr">
        <is>
          <t>增资</t>
        </is>
      </c>
      <c r="E14" s="2" t="inlineStr">
        <is>
          <t>达晨财智</t>
        </is>
      </c>
      <c r="F14" s="2" t="inlineStr">
        <is>
          <t>PE/VC</t>
        </is>
      </c>
      <c r="G14" s="2" t="n">
        <v>29.7333</v>
      </c>
      <c r="H14" s="2" t="n">
        <v>1000</v>
      </c>
      <c r="I14" s="2" t="n">
        <v>33.6323</v>
      </c>
      <c r="J14" s="2" t="inlineStr">
        <is>
          <t>人民币</t>
        </is>
      </c>
      <c r="K14" s="2" t="n">
        <v>45</v>
      </c>
      <c r="L14" s="3" t="inlineStr">
        <is>
          <t>达晨财智认购29.7333万股且认购金额1000.0万元</t>
        </is>
      </c>
    </row>
    <row r="15">
      <c r="A15" s="2" t="n">
        <v>14</v>
      </c>
      <c r="B15" s="2" t="inlineStr"/>
      <c r="C15" s="2" t="inlineStr">
        <is>
          <t>2022-12-19</t>
        </is>
      </c>
      <c r="D15" s="2" t="inlineStr">
        <is>
          <t>增资</t>
        </is>
      </c>
      <c r="E15" s="2" t="inlineStr">
        <is>
          <t>财智创赢</t>
        </is>
      </c>
      <c r="F15" s="2" t="inlineStr">
        <is>
          <t>PE/VC</t>
        </is>
      </c>
      <c r="G15" s="2" t="n">
        <v>10.1093</v>
      </c>
      <c r="H15" s="2" t="n">
        <v>340</v>
      </c>
      <c r="I15" s="2" t="n">
        <v>33.6323</v>
      </c>
      <c r="J15" s="2" t="inlineStr">
        <is>
          <t>人民币</t>
        </is>
      </c>
      <c r="K15" s="2" t="n">
        <v>45</v>
      </c>
      <c r="L15" s="3" t="inlineStr">
        <is>
          <t>财智创赢认购10.1093万股且认购金额340.0万元</t>
        </is>
      </c>
    </row>
    <row r="16">
      <c r="A16" s="4" t="inlineStr">
        <is>
          <t>合计</t>
        </is>
      </c>
      <c r="B16" s="5" t="n"/>
      <c r="C16" s="5" t="n"/>
      <c r="D16" s="5" t="n"/>
      <c r="E16" s="5" t="n"/>
      <c r="F16" s="5" t="n"/>
      <c r="G16" s="4">
        <f>SUM(G2:G15)</f>
        <v/>
      </c>
      <c r="H16" s="4">
        <f>SUM(H2:H15)</f>
        <v/>
      </c>
      <c r="I16" s="5" t="n"/>
      <c r="J16" s="5" t="n"/>
      <c r="K16" s="5" t="n"/>
      <c r="L1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6" t="inlineStr">
        <is>
          <t>t0｜报告期初  (2020-01-01)  总股本: 10950.2788 万元注册资本</t>
        </is>
      </c>
    </row>
    <row r="2">
      <c r="A2" s="1" t="inlineStr">
        <is>
          <t>序号</t>
        </is>
      </c>
      <c r="B2" s="1" t="inlineStr">
        <is>
          <t>股东名称</t>
        </is>
      </c>
      <c r="C2" s="1" t="inlineStr">
        <is>
          <t>持股数(万股)</t>
        </is>
      </c>
      <c r="D2" s="1" t="inlineStr">
        <is>
          <t>出资额(万元注册资本)</t>
        </is>
      </c>
      <c r="E2" s="1" t="inlineStr">
        <is>
          <t>持股比例(%)</t>
        </is>
      </c>
      <c r="F2" s="1" t="inlineStr">
        <is>
          <t>股东类型</t>
        </is>
      </c>
      <c r="G2" s="1" t="inlineStr">
        <is>
          <t>PDF页码</t>
        </is>
      </c>
      <c r="H2" s="1" t="inlineStr">
        <is>
          <t>证据文本</t>
        </is>
      </c>
    </row>
    <row r="3">
      <c r="A3" s="2" t="n">
        <v>1</v>
      </c>
      <c r="B3" s="2" t="inlineStr">
        <is>
          <t>泽升贸易</t>
        </is>
      </c>
      <c r="C3" s="2" t="n"/>
      <c r="D3" s="2" t="n">
        <v>8190.8086</v>
      </c>
      <c r="E3" s="2" t="n">
        <v>74.8</v>
      </c>
      <c r="F3" s="2" t="inlineStr">
        <is>
          <t>法人股东</t>
        </is>
      </c>
      <c r="G3" s="2" t="n">
        <v>44</v>
      </c>
      <c r="H3" s="3" t="inlineStr">
        <is>
          <t>报告期初，友升有限的股权结构如下：泽升贸易出资8,190.8086万元(74.80%)、达晨创联基金出资1,642.5418万元(15.00%)、共青城泽升出资930.7737万元(8.50%)、罗世兵出资186.1547万元(1.70%)，合计10,950.2788万元</t>
        </is>
      </c>
    </row>
    <row r="4">
      <c r="A4" s="2" t="n">
        <v>2</v>
      </c>
      <c r="B4" s="2" t="inlineStr">
        <is>
          <t>达晨创联基金</t>
        </is>
      </c>
      <c r="C4" s="2" t="n"/>
      <c r="D4" s="2" t="n">
        <v>1642.5418</v>
      </c>
      <c r="E4" s="2" t="n">
        <v>15</v>
      </c>
      <c r="F4" s="2" t="inlineStr">
        <is>
          <t>PE/VC</t>
        </is>
      </c>
      <c r="G4" s="2" t="n">
        <v>44</v>
      </c>
      <c r="H4" s="3" t="inlineStr">
        <is>
          <t>报告期初，友升有限的股权结构如下：泽升贸易出资8,190.8086万元(74.80%)、达晨创联基金出资1,642.5418万元(15.00%)、共青城泽升出资930.7737万元(8.50%)、罗世兵出资186.1547万元(1.70%)，合计10,950.2788万元</t>
        </is>
      </c>
    </row>
    <row r="5">
      <c r="A5" s="2" t="n">
        <v>3</v>
      </c>
      <c r="B5" s="2" t="inlineStr">
        <is>
          <t>共青城泽升</t>
        </is>
      </c>
      <c r="C5" s="2" t="n"/>
      <c r="D5" s="2" t="n">
        <v>930.7737</v>
      </c>
      <c r="E5" s="2" t="n">
        <v>8.5</v>
      </c>
      <c r="F5" s="2" t="inlineStr">
        <is>
          <t>员工持股平台</t>
        </is>
      </c>
      <c r="G5" s="2" t="n">
        <v>44</v>
      </c>
      <c r="H5" s="3" t="inlineStr">
        <is>
          <t>报告期初，友升有限的股权结构如下：泽升贸易出资8,190.8086万元(74.80%)、达晨创联基金出资1,642.5418万元(15.00%)、共青城泽升出资930.7737万元(8.50%)、罗世兵出资186.1547万元(1.70%)，合计10,950.2788万元</t>
        </is>
      </c>
    </row>
    <row r="6">
      <c r="A6" s="2" t="n">
        <v>4</v>
      </c>
      <c r="B6" s="2" t="inlineStr">
        <is>
          <t>罗世兵</t>
        </is>
      </c>
      <c r="C6" s="2" t="n"/>
      <c r="D6" s="2" t="n">
        <v>186.1547</v>
      </c>
      <c r="E6" s="2" t="n">
        <v>1.7</v>
      </c>
      <c r="F6" s="2" t="inlineStr">
        <is>
          <t>自然人</t>
        </is>
      </c>
      <c r="G6" s="2" t="n">
        <v>44</v>
      </c>
      <c r="H6" s="3" t="inlineStr">
        <is>
          <t>报告期初，友升有限的股权结构如下：泽升贸易出资8,190.8086万元(74.80%)、达晨创联基金出资1,642.5418万元(15.00%)、共青城泽升出资930.7737万元(8.50%)、罗世兵出资186.1547万元(1.70%)，合计10,950.2788万元</t>
        </is>
      </c>
    </row>
    <row r="7">
      <c r="A7" s="4" t="inlineStr">
        <is>
          <t>合计</t>
        </is>
      </c>
      <c r="B7" s="5" t="n"/>
      <c r="C7" s="4">
        <f>SUM(C3:C6)</f>
        <v/>
      </c>
      <c r="D7" s="4">
        <f>SUM(D3:D6)</f>
        <v/>
      </c>
      <c r="E7" s="4">
        <f>SUM(E3:E6)</f>
        <v/>
      </c>
      <c r="F7" s="5" t="n"/>
      <c r="G7" s="5" t="n"/>
      <c r="H7" s="5" t="n"/>
    </row>
    <row r="9">
      <c r="A9" s="6" t="inlineStr">
        <is>
          <t>t0+｜整体变更后  (2020-09-18)  总股本: 12000.0 万股</t>
        </is>
      </c>
    </row>
    <row r="10">
      <c r="A10" s="1" t="inlineStr">
        <is>
          <t>序号</t>
        </is>
      </c>
      <c r="B10" s="1" t="inlineStr">
        <is>
          <t>股东名称</t>
        </is>
      </c>
      <c r="C10" s="1" t="inlineStr">
        <is>
          <t>持股数(万股)</t>
        </is>
      </c>
      <c r="D10" s="1" t="inlineStr">
        <is>
          <t>出资额(万元注册资本)</t>
        </is>
      </c>
      <c r="E10" s="1" t="inlineStr">
        <is>
          <t>持股比例(%)</t>
        </is>
      </c>
      <c r="F10" s="1" t="inlineStr">
        <is>
          <t>股东类型</t>
        </is>
      </c>
      <c r="G10" s="1" t="inlineStr">
        <is>
          <t>PDF页码</t>
        </is>
      </c>
      <c r="H10" s="1" t="inlineStr">
        <is>
          <t>证据文本</t>
        </is>
      </c>
    </row>
    <row r="11">
      <c r="A11" s="2" t="n">
        <v>1</v>
      </c>
      <c r="B11" s="2" t="inlineStr">
        <is>
          <t>泽升贸易</t>
        </is>
      </c>
      <c r="C11" s="2" t="n">
        <v>8976</v>
      </c>
      <c r="D11" s="2" t="n"/>
      <c r="E11" s="2" t="n">
        <v>74.8</v>
      </c>
      <c r="F11" s="2" t="inlineStr">
        <is>
          <t>法人股东</t>
        </is>
      </c>
      <c r="G11" s="2" t="n">
        <v>43</v>
      </c>
      <c r="H11" s="3" t="inlineStr">
        <is>
          <t>整体变更后，友升股份的股权结构如下：泽升贸易8,976.00万股(74.80%)、达晨创联基金1,800.00万股(15.00%)、共青城泽升1,020.00万股(8.50%)、罗世兵204.00万股(1.70%)，合计12,000.00万股</t>
        </is>
      </c>
    </row>
    <row r="12">
      <c r="A12" s="2" t="n">
        <v>2</v>
      </c>
      <c r="B12" s="2" t="inlineStr">
        <is>
          <t>达晨创联基金</t>
        </is>
      </c>
      <c r="C12" s="2" t="n">
        <v>1800</v>
      </c>
      <c r="D12" s="2" t="n"/>
      <c r="E12" s="2" t="n">
        <v>15</v>
      </c>
      <c r="F12" s="2" t="inlineStr">
        <is>
          <t>PE/VC</t>
        </is>
      </c>
      <c r="G12" s="2" t="n">
        <v>43</v>
      </c>
      <c r="H12" s="3" t="inlineStr">
        <is>
          <t>整体变更后，友升股份的股权结构如下：泽升贸易8,976.00万股(74.80%)、达晨创联基金1,800.00万股(15.00%)、共青城泽升1,020.00万股(8.50%)、罗世兵204.00万股(1.70%)，合计12,000.00万股</t>
        </is>
      </c>
    </row>
    <row r="13">
      <c r="A13" s="2" t="n">
        <v>3</v>
      </c>
      <c r="B13" s="2" t="inlineStr">
        <is>
          <t>共青城泽升</t>
        </is>
      </c>
      <c r="C13" s="2" t="n">
        <v>1020</v>
      </c>
      <c r="D13" s="2" t="n"/>
      <c r="E13" s="2" t="n">
        <v>8.5</v>
      </c>
      <c r="F13" s="2" t="inlineStr">
        <is>
          <t>员工持股平台</t>
        </is>
      </c>
      <c r="G13" s="2" t="n">
        <v>43</v>
      </c>
      <c r="H13" s="3" t="inlineStr">
        <is>
          <t>整体变更后，友升股份的股权结构如下：泽升贸易8,976.00万股(74.80%)、达晨创联基金1,800.00万股(15.00%)、共青城泽升1,020.00万股(8.50%)、罗世兵204.00万股(1.70%)，合计12,000.00万股</t>
        </is>
      </c>
    </row>
    <row r="14">
      <c r="A14" s="2" t="n">
        <v>4</v>
      </c>
      <c r="B14" s="2" t="inlineStr">
        <is>
          <t>罗世兵</t>
        </is>
      </c>
      <c r="C14" s="2" t="n">
        <v>204</v>
      </c>
      <c r="D14" s="2" t="n"/>
      <c r="E14" s="2" t="n">
        <v>1.7</v>
      </c>
      <c r="F14" s="2" t="inlineStr">
        <is>
          <t>自然人</t>
        </is>
      </c>
      <c r="G14" s="2" t="n">
        <v>43</v>
      </c>
      <c r="H14" s="3" t="inlineStr">
        <is>
          <t>整体变更后，友升股份的股权结构如下：泽升贸易8,976.00万股(74.80%)、达晨创联基金1,800.00万股(15.00%)、共青城泽升1,020.00万股(8.50%)、罗世兵204.00万股(1.70%)，合计12,000.00万股</t>
        </is>
      </c>
    </row>
    <row r="15">
      <c r="A15" s="4" t="inlineStr">
        <is>
          <t>合计</t>
        </is>
      </c>
      <c r="B15" s="5" t="n"/>
      <c r="C15" s="4">
        <f>SUM(C11:C14)</f>
        <v/>
      </c>
      <c r="D15" s="4">
        <f>SUM(D11:D14)</f>
        <v/>
      </c>
      <c r="E15" s="4">
        <f>SUM(E11:E14)</f>
        <v/>
      </c>
      <c r="F15" s="5" t="n"/>
      <c r="G15" s="5" t="n"/>
      <c r="H15" s="5" t="n"/>
    </row>
    <row r="17">
      <c r="A17" s="6" t="inlineStr">
        <is>
          <t>t1｜2020-09-30增资后  (2020-09-30)  总股本: 13380.0 万股</t>
        </is>
      </c>
    </row>
    <row r="18">
      <c r="A18" s="1" t="inlineStr">
        <is>
          <t>序号</t>
        </is>
      </c>
      <c r="B18" s="1" t="inlineStr">
        <is>
          <t>股东名称</t>
        </is>
      </c>
      <c r="C18" s="1" t="inlineStr">
        <is>
          <t>持股数(万股)</t>
        </is>
      </c>
      <c r="D18" s="1" t="inlineStr">
        <is>
          <t>出资额(万元注册资本)</t>
        </is>
      </c>
      <c r="E18" s="1" t="inlineStr">
        <is>
          <t>持股比例(%)</t>
        </is>
      </c>
      <c r="F18" s="1" t="inlineStr">
        <is>
          <t>股东类型</t>
        </is>
      </c>
      <c r="G18" s="1" t="inlineStr">
        <is>
          <t>PDF页码</t>
        </is>
      </c>
      <c r="H18" s="1" t="inlineStr">
        <is>
          <t>证据文本</t>
        </is>
      </c>
    </row>
    <row r="19">
      <c r="A19" s="2" t="n">
        <v>1</v>
      </c>
      <c r="B19" s="2" t="inlineStr">
        <is>
          <t>泽升贸易</t>
        </is>
      </c>
      <c r="C19" s="2" t="n">
        <v>8976</v>
      </c>
      <c r="D19" s="2" t="n"/>
      <c r="E19" s="2" t="n">
        <v>67.09</v>
      </c>
      <c r="F19" s="2" t="inlineStr">
        <is>
          <t>法人股东</t>
        </is>
      </c>
      <c r="G19" s="2" t="n">
        <v>44</v>
      </c>
      <c r="H19" s="3" t="inlineStr">
        <is>
          <t>本次增资后股权结构如下：泽升贸易8,976.00万股(67.09%)、达晨创联基金1,800.00万股(13.45%)、共青城泽升1,020.00万股(7.62%)、罗世兵204.00万股(1.52%)、金浦临港基金840.00万股(6.28%)、金浦科创基金360.00万股(2.69%)、上海骁墨180.00万股(1.35%)，合计13,380.00万股</t>
        </is>
      </c>
    </row>
    <row r="20">
      <c r="A20" s="2" t="n">
        <v>2</v>
      </c>
      <c r="B20" s="2" t="inlineStr">
        <is>
          <t>达晨创联基金</t>
        </is>
      </c>
      <c r="C20" s="2" t="n">
        <v>1800</v>
      </c>
      <c r="D20" s="2" t="n"/>
      <c r="E20" s="2" t="n">
        <v>13.45</v>
      </c>
      <c r="F20" s="2" t="inlineStr">
        <is>
          <t>PE/VC</t>
        </is>
      </c>
      <c r="G20" s="2" t="n">
        <v>44</v>
      </c>
      <c r="H20" s="3" t="inlineStr">
        <is>
          <t>本次增资后股权结构如下：泽升贸易8,976.00万股(67.09%)、达晨创联基金1,800.00万股(13.45%)、共青城泽升1,020.00万股(7.62%)、罗世兵204.00万股(1.52%)、金浦临港基金840.00万股(6.28%)、金浦科创基金360.00万股(2.69%)、上海骁墨180.00万股(1.35%)，合计13,380.00万股</t>
        </is>
      </c>
    </row>
    <row r="21">
      <c r="A21" s="2" t="n">
        <v>3</v>
      </c>
      <c r="B21" s="2" t="inlineStr">
        <is>
          <t>共青城泽升</t>
        </is>
      </c>
      <c r="C21" s="2" t="n">
        <v>1020</v>
      </c>
      <c r="D21" s="2" t="n"/>
      <c r="E21" s="2" t="n">
        <v>7.62</v>
      </c>
      <c r="F21" s="2" t="inlineStr">
        <is>
          <t>员工持股平台</t>
        </is>
      </c>
      <c r="G21" s="2" t="n">
        <v>44</v>
      </c>
      <c r="H21" s="3" t="inlineStr">
        <is>
          <t>本次增资后股权结构如下：泽升贸易8,976.00万股(67.09%)、达晨创联基金1,800.00万股(13.45%)、共青城泽升1,020.00万股(7.62%)、罗世兵204.00万股(1.52%)、金浦临港基金840.00万股(6.28%)、金浦科创基金360.00万股(2.69%)、上海骁墨180.00万股(1.35%)，合计13,380.00万股</t>
        </is>
      </c>
    </row>
    <row r="22">
      <c r="A22" s="2" t="n">
        <v>4</v>
      </c>
      <c r="B22" s="2" t="inlineStr">
        <is>
          <t>罗世兵</t>
        </is>
      </c>
      <c r="C22" s="2" t="n">
        <v>204</v>
      </c>
      <c r="D22" s="2" t="n"/>
      <c r="E22" s="2" t="n">
        <v>1.52</v>
      </c>
      <c r="F22" s="2" t="inlineStr">
        <is>
          <t>自然人</t>
        </is>
      </c>
      <c r="G22" s="2" t="n">
        <v>44</v>
      </c>
      <c r="H22" s="3" t="inlineStr">
        <is>
          <t>本次增资后股权结构如下：泽升贸易8,976.00万股(67.09%)、达晨创联基金1,800.00万股(13.45%)、共青城泽升1,020.00万股(7.62%)、罗世兵204.00万股(1.52%)、金浦临港基金840.00万股(6.28%)、金浦科创基金360.00万股(2.69%)、上海骁墨180.00万股(1.35%)，合计13,380.00万股</t>
        </is>
      </c>
    </row>
    <row r="23">
      <c r="A23" s="2" t="n">
        <v>5</v>
      </c>
      <c r="B23" s="2" t="inlineStr">
        <is>
          <t>金浦临港基金</t>
        </is>
      </c>
      <c r="C23" s="2" t="n">
        <v>840</v>
      </c>
      <c r="D23" s="2" t="n"/>
      <c r="E23" s="2" t="n">
        <v>6.28</v>
      </c>
      <c r="F23" s="2" t="inlineStr">
        <is>
          <t>PE/VC</t>
        </is>
      </c>
      <c r="G23" s="2" t="n">
        <v>44</v>
      </c>
      <c r="H23" s="3" t="inlineStr">
        <is>
          <t>本次增资后股权结构如下：泽升贸易8,976.00万股(67.09%)、达晨创联基金1,800.00万股(13.45%)、共青城泽升1,020.00万股(7.62%)、罗世兵204.00万股(1.52%)、金浦临港基金840.00万股(6.28%)、金浦科创基金360.00万股(2.69%)、上海骁墨180.00万股(1.35%)，合计13,380.00万股</t>
        </is>
      </c>
    </row>
    <row r="24">
      <c r="A24" s="2" t="n">
        <v>6</v>
      </c>
      <c r="B24" s="2" t="inlineStr">
        <is>
          <t>金浦科创基金</t>
        </is>
      </c>
      <c r="C24" s="2" t="n">
        <v>360</v>
      </c>
      <c r="D24" s="2" t="n"/>
      <c r="E24" s="2" t="n">
        <v>2.69</v>
      </c>
      <c r="F24" s="2" t="inlineStr">
        <is>
          <t>PE/VC</t>
        </is>
      </c>
      <c r="G24" s="2" t="n">
        <v>44</v>
      </c>
      <c r="H24" s="3" t="inlineStr">
        <is>
          <t>本次增资后股权结构如下：泽升贸易8,976.00万股(67.09%)、达晨创联基金1,800.00万股(13.45%)、共青城泽升1,020.00万股(7.62%)、罗世兵204.00万股(1.52%)、金浦临港基金840.00万股(6.28%)、金浦科创基金360.00万股(2.69%)、上海骁墨180.00万股(1.35%)，合计13,380.00万股</t>
        </is>
      </c>
    </row>
    <row r="25">
      <c r="A25" s="2" t="n">
        <v>7</v>
      </c>
      <c r="B25" s="2" t="inlineStr">
        <is>
          <t>上海骁墨</t>
        </is>
      </c>
      <c r="C25" s="2" t="n">
        <v>180</v>
      </c>
      <c r="D25" s="2" t="n"/>
      <c r="E25" s="2" t="n">
        <v>1.35</v>
      </c>
      <c r="F25" s="2" t="inlineStr">
        <is>
          <t>PE/VC</t>
        </is>
      </c>
      <c r="G25" s="2" t="n">
        <v>44</v>
      </c>
      <c r="H25" s="3" t="inlineStr">
        <is>
          <t>本次增资后股权结构如下：泽升贸易8,976.00万股(67.09%)、达晨创联基金1,800.00万股(13.45%)、共青城泽升1,020.00万股(7.62%)、罗世兵204.00万股(1.52%)、金浦临港基金840.00万股(6.28%)、金浦科创基金360.00万股(2.69%)、上海骁墨180.00万股(1.35%)，合计13,380.00万股</t>
        </is>
      </c>
    </row>
    <row r="26">
      <c r="A26" s="4" t="inlineStr">
        <is>
          <t>合计</t>
        </is>
      </c>
      <c r="B26" s="5" t="n"/>
      <c r="C26" s="4">
        <f>SUM(C19:C25)</f>
        <v/>
      </c>
      <c r="D26" s="4">
        <f>SUM(D19:D25)</f>
        <v/>
      </c>
      <c r="E26" s="4">
        <f>SUM(E19:E25)</f>
        <v/>
      </c>
      <c r="F26" s="5" t="n"/>
      <c r="G26" s="5" t="n"/>
      <c r="H26" s="5" t="n"/>
    </row>
    <row r="28">
      <c r="A28" s="6" t="inlineStr">
        <is>
          <t>t2｜2022-12-19增资后  (2022-12-19)  总股本: 14480.1333 万股</t>
        </is>
      </c>
    </row>
    <row r="29">
      <c r="A29" s="1" t="inlineStr">
        <is>
          <t>序号</t>
        </is>
      </c>
      <c r="B29" s="1" t="inlineStr">
        <is>
          <t>股东名称</t>
        </is>
      </c>
      <c r="C29" s="1" t="inlineStr">
        <is>
          <t>持股数(万股)</t>
        </is>
      </c>
      <c r="D29" s="1" t="inlineStr">
        <is>
          <t>出资额(万元注册资本)</t>
        </is>
      </c>
      <c r="E29" s="1" t="inlineStr">
        <is>
          <t>持股比例(%)</t>
        </is>
      </c>
      <c r="F29" s="1" t="inlineStr">
        <is>
          <t>股东类型</t>
        </is>
      </c>
      <c r="G29" s="1" t="inlineStr">
        <is>
          <t>PDF页码</t>
        </is>
      </c>
      <c r="H29" s="1" t="inlineStr">
        <is>
          <t>证据文本</t>
        </is>
      </c>
    </row>
    <row r="30">
      <c r="A30" s="2" t="n">
        <v>1</v>
      </c>
      <c r="B30" s="2" t="inlineStr">
        <is>
          <t>泽升贸易</t>
        </is>
      </c>
      <c r="C30" s="2" t="n">
        <v>8976</v>
      </c>
      <c r="D30" s="2" t="n"/>
      <c r="E30" s="2" t="n">
        <v>61.99</v>
      </c>
      <c r="F30" s="2" t="inlineStr">
        <is>
          <t>法人股东</t>
        </is>
      </c>
      <c r="G30" s="2" t="n">
        <v>45</v>
      </c>
      <c r="H30" s="3" t="inlineStr">
        <is>
          <t>本次增资后，公司总股本为14,480.1333万股</t>
        </is>
      </c>
    </row>
    <row r="31">
      <c r="A31" s="2" t="n">
        <v>2</v>
      </c>
      <c r="B31" s="2" t="inlineStr">
        <is>
          <t>达晨创联基金</t>
        </is>
      </c>
      <c r="C31" s="2" t="n">
        <v>1800</v>
      </c>
      <c r="D31" s="2" t="n"/>
      <c r="E31" s="2" t="n">
        <v>12.43</v>
      </c>
      <c r="F31" s="2" t="inlineStr">
        <is>
          <t>PE/VC</t>
        </is>
      </c>
      <c r="G31" s="2" t="n">
        <v>45</v>
      </c>
      <c r="H31" s="3" t="inlineStr">
        <is>
          <t>本次增资后，公司总股本为14,480.1333万股</t>
        </is>
      </c>
    </row>
    <row r="32">
      <c r="A32" s="2" t="n">
        <v>3</v>
      </c>
      <c r="B32" s="2" t="inlineStr">
        <is>
          <t>共青城泽升</t>
        </is>
      </c>
      <c r="C32" s="2" t="n">
        <v>1020</v>
      </c>
      <c r="D32" s="2" t="n"/>
      <c r="E32" s="2" t="n">
        <v>7.04</v>
      </c>
      <c r="F32" s="2" t="inlineStr">
        <is>
          <t>员工持股平台</t>
        </is>
      </c>
      <c r="G32" s="2" t="n">
        <v>45</v>
      </c>
      <c r="H32" s="3" t="inlineStr">
        <is>
          <t>本次增资后，公司总股本为14,480.1333万股</t>
        </is>
      </c>
    </row>
    <row r="33">
      <c r="A33" s="2" t="n">
        <v>4</v>
      </c>
      <c r="B33" s="2" t="inlineStr">
        <is>
          <t>金浦临港基金</t>
        </is>
      </c>
      <c r="C33" s="2" t="n">
        <v>840</v>
      </c>
      <c r="D33" s="2" t="n"/>
      <c r="E33" s="2" t="n">
        <v>5.8</v>
      </c>
      <c r="F33" s="2" t="inlineStr">
        <is>
          <t>PE/VC</t>
        </is>
      </c>
      <c r="G33" s="2" t="n">
        <v>45</v>
      </c>
      <c r="H33" s="3" t="inlineStr">
        <is>
          <t>本次增资后，公司总股本为14,480.1333万股</t>
        </is>
      </c>
    </row>
    <row r="34">
      <c r="A34" s="2" t="n">
        <v>5</v>
      </c>
      <c r="B34" s="2" t="inlineStr">
        <is>
          <t>金浦科创基金</t>
        </is>
      </c>
      <c r="C34" s="2" t="n">
        <v>360</v>
      </c>
      <c r="D34" s="2" t="n"/>
      <c r="E34" s="2" t="n">
        <v>2.49</v>
      </c>
      <c r="F34" s="2" t="inlineStr">
        <is>
          <t>PE/VC</t>
        </is>
      </c>
      <c r="G34" s="2" t="n">
        <v>45</v>
      </c>
      <c r="H34" s="3" t="inlineStr">
        <is>
          <t>本次增资后，公司总股本为14,480.1333万股</t>
        </is>
      </c>
    </row>
    <row r="35">
      <c r="A35" s="2" t="n">
        <v>6</v>
      </c>
      <c r="B35" s="2" t="inlineStr">
        <is>
          <t>杉晖创业</t>
        </is>
      </c>
      <c r="C35" s="2" t="n">
        <v>297.3333</v>
      </c>
      <c r="D35" s="2" t="n"/>
      <c r="E35" s="2" t="n">
        <v>2.05</v>
      </c>
      <c r="F35" s="2" t="inlineStr">
        <is>
          <t>PE/VC</t>
        </is>
      </c>
      <c r="G35" s="2" t="n">
        <v>45</v>
      </c>
      <c r="H35" s="3" t="inlineStr">
        <is>
          <t>本次增资后，公司总股本为14,480.1333万股</t>
        </is>
      </c>
    </row>
    <row r="36">
      <c r="A36" s="2" t="n">
        <v>7</v>
      </c>
      <c r="B36" s="2" t="inlineStr">
        <is>
          <t>上海联炻</t>
        </is>
      </c>
      <c r="C36" s="2" t="n">
        <v>297.3333</v>
      </c>
      <c r="D36" s="2" t="n"/>
      <c r="E36" s="2" t="n">
        <v>2.05</v>
      </c>
      <c r="F36" s="2" t="inlineStr">
        <is>
          <t>PE/VC</t>
        </is>
      </c>
      <c r="G36" s="2" t="n">
        <v>45</v>
      </c>
      <c r="H36" s="3" t="inlineStr">
        <is>
          <t>本次增资后，公司总股本为14,480.1333万股</t>
        </is>
      </c>
    </row>
    <row r="37">
      <c r="A37" s="2" t="n">
        <v>8</v>
      </c>
      <c r="B37" s="2" t="inlineStr">
        <is>
          <t>罗世兵</t>
        </is>
      </c>
      <c r="C37" s="2" t="n">
        <v>204</v>
      </c>
      <c r="D37" s="2" t="n"/>
      <c r="E37" s="2" t="n">
        <v>1.41</v>
      </c>
      <c r="F37" s="2" t="inlineStr">
        <is>
          <t>自然人</t>
        </is>
      </c>
      <c r="G37" s="2" t="n">
        <v>45</v>
      </c>
      <c r="H37" s="3" t="inlineStr">
        <is>
          <t>本次增资后，公司总股本为14,480.1333万股</t>
        </is>
      </c>
    </row>
    <row r="38">
      <c r="A38" s="2" t="n">
        <v>9</v>
      </c>
      <c r="B38" s="2" t="inlineStr">
        <is>
          <t>上海骁墨</t>
        </is>
      </c>
      <c r="C38" s="2" t="n">
        <v>180</v>
      </c>
      <c r="D38" s="2" t="n"/>
      <c r="E38" s="2" t="n">
        <v>1.24</v>
      </c>
      <c r="F38" s="2" t="inlineStr">
        <is>
          <t>PE/VC</t>
        </is>
      </c>
      <c r="G38" s="2" t="n">
        <v>45</v>
      </c>
      <c r="H38" s="3" t="inlineStr">
        <is>
          <t>本次增资后，公司总股本为14,480.1333万股</t>
        </is>
      </c>
    </row>
    <row r="39">
      <c r="A39" s="2" t="n">
        <v>10</v>
      </c>
      <c r="B39" s="2" t="inlineStr">
        <is>
          <t>安吉璞颉</t>
        </is>
      </c>
      <c r="C39" s="2" t="n">
        <v>148.6667</v>
      </c>
      <c r="D39" s="2" t="n"/>
      <c r="E39" s="2" t="n">
        <v>1.03</v>
      </c>
      <c r="F39" s="2" t="inlineStr">
        <is>
          <t>PE/VC</t>
        </is>
      </c>
      <c r="G39" s="2" t="n">
        <v>45</v>
      </c>
      <c r="H39" s="3" t="inlineStr">
        <is>
          <t>本次增资后，公司总股本为14,480.1333万股</t>
        </is>
      </c>
    </row>
    <row r="40">
      <c r="A40" s="2" t="n">
        <v>11</v>
      </c>
      <c r="B40" s="2" t="inlineStr">
        <is>
          <t>财投晨源</t>
        </is>
      </c>
      <c r="C40" s="2" t="n">
        <v>89.2</v>
      </c>
      <c r="D40" s="2" t="n"/>
      <c r="E40" s="2" t="n">
        <v>0.62</v>
      </c>
      <c r="F40" s="2" t="inlineStr">
        <is>
          <t>PE/VC</t>
        </is>
      </c>
      <c r="G40" s="2" t="n">
        <v>45</v>
      </c>
      <c r="H40" s="3" t="inlineStr">
        <is>
          <t>本次增资后，公司总股本为14,480.1333万股</t>
        </is>
      </c>
    </row>
    <row r="41">
      <c r="A41" s="2" t="n">
        <v>12</v>
      </c>
      <c r="B41" s="2" t="inlineStr">
        <is>
          <t>深圳达晨创程</t>
        </is>
      </c>
      <c r="C41" s="2" t="n">
        <v>86.5984</v>
      </c>
      <c r="D41" s="2" t="n"/>
      <c r="E41" s="2" t="n">
        <v>0.6</v>
      </c>
      <c r="F41" s="2" t="inlineStr">
        <is>
          <t>PE/VC</t>
        </is>
      </c>
      <c r="G41" s="2" t="n">
        <v>45</v>
      </c>
      <c r="H41" s="3" t="inlineStr">
        <is>
          <t>本次增资后，公司总股本为14,480.1333万股</t>
        </is>
      </c>
    </row>
    <row r="42">
      <c r="A42" s="2" t="n">
        <v>13</v>
      </c>
      <c r="B42" s="2" t="inlineStr">
        <is>
          <t>杉创智至</t>
        </is>
      </c>
      <c r="C42" s="2" t="n">
        <v>59.4667</v>
      </c>
      <c r="D42" s="2" t="n"/>
      <c r="E42" s="2" t="n">
        <v>0.41</v>
      </c>
      <c r="F42" s="2" t="inlineStr">
        <is>
          <t>PE/VC</t>
        </is>
      </c>
      <c r="G42" s="2" t="n">
        <v>45</v>
      </c>
      <c r="H42" s="3" t="inlineStr">
        <is>
          <t>本次增资后，公司总股本为14,480.1333万股</t>
        </is>
      </c>
    </row>
    <row r="43">
      <c r="A43" s="2" t="n">
        <v>14</v>
      </c>
      <c r="B43" s="2" t="inlineStr">
        <is>
          <t>杭州达晨创程</t>
        </is>
      </c>
      <c r="C43" s="2" t="n">
        <v>51.959</v>
      </c>
      <c r="D43" s="2" t="n"/>
      <c r="E43" s="2" t="n">
        <v>0.36</v>
      </c>
      <c r="F43" s="2" t="inlineStr">
        <is>
          <t>PE/VC</t>
        </is>
      </c>
      <c r="G43" s="2" t="n">
        <v>45</v>
      </c>
      <c r="H43" s="3" t="inlineStr">
        <is>
          <t>本次增资后，公司总股本为14,480.1333万股</t>
        </is>
      </c>
    </row>
    <row r="44">
      <c r="A44" s="2" t="n">
        <v>15</v>
      </c>
      <c r="B44" s="2" t="inlineStr">
        <is>
          <t>达晨财汇</t>
        </is>
      </c>
      <c r="C44" s="2" t="n">
        <v>29.7333</v>
      </c>
      <c r="D44" s="2" t="n"/>
      <c r="E44" s="2" t="n">
        <v>0.21</v>
      </c>
      <c r="F44" s="2" t="inlineStr">
        <is>
          <t>PE/VC</t>
        </is>
      </c>
      <c r="G44" s="2" t="n">
        <v>45</v>
      </c>
      <c r="H44" s="3" t="inlineStr">
        <is>
          <t>本次增资后，公司总股本为14,480.1333万股</t>
        </is>
      </c>
    </row>
    <row r="45">
      <c r="A45" s="2" t="n">
        <v>16</v>
      </c>
      <c r="B45" s="2" t="inlineStr">
        <is>
          <t>达晨财智</t>
        </is>
      </c>
      <c r="C45" s="2" t="n">
        <v>29.7333</v>
      </c>
      <c r="D45" s="2" t="n"/>
      <c r="E45" s="2" t="n">
        <v>0.21</v>
      </c>
      <c r="F45" s="2" t="inlineStr">
        <is>
          <t>PE/VC</t>
        </is>
      </c>
      <c r="G45" s="2" t="n">
        <v>45</v>
      </c>
      <c r="H45" s="3" t="inlineStr">
        <is>
          <t>本次增资后，公司总股本为14,480.1333万股</t>
        </is>
      </c>
    </row>
    <row r="46">
      <c r="A46" s="2" t="n">
        <v>17</v>
      </c>
      <c r="B46" s="2" t="inlineStr">
        <is>
          <t>财智创赢</t>
        </is>
      </c>
      <c r="C46" s="2" t="n">
        <v>10.1093</v>
      </c>
      <c r="D46" s="2" t="n"/>
      <c r="E46" s="2" t="n">
        <v>0.07000000000000001</v>
      </c>
      <c r="F46" s="2" t="inlineStr">
        <is>
          <t>PE/VC</t>
        </is>
      </c>
      <c r="G46" s="2" t="n">
        <v>45</v>
      </c>
      <c r="H46" s="3" t="inlineStr">
        <is>
          <t>本次增资后，公司总股本为14,480.1333万股</t>
        </is>
      </c>
    </row>
    <row r="47">
      <c r="A47" s="4" t="inlineStr">
        <is>
          <t>合计</t>
        </is>
      </c>
      <c r="B47" s="5" t="n"/>
      <c r="C47" s="4">
        <f>SUM(C30:C46)</f>
        <v/>
      </c>
      <c r="D47" s="4">
        <f>SUM(D30:D46)</f>
        <v/>
      </c>
      <c r="E47" s="4">
        <f>SUM(E30:E46)</f>
        <v/>
      </c>
      <c r="F47" s="5" t="n"/>
      <c r="G47" s="5" t="n"/>
      <c r="H47" s="5" t="n"/>
    </row>
  </sheetData>
  <mergeCells count="4">
    <mergeCell ref="A9:H9"/>
    <mergeCell ref="A28:H28"/>
    <mergeCell ref="A17:H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0" customWidth="1" min="10" max="10"/>
  </cols>
  <sheetData>
    <row r="1">
      <c r="A1" s="1" t="inlineStr">
        <is>
          <t>校验项</t>
        </is>
      </c>
      <c r="B1" s="1" t="inlineStr">
        <is>
          <t>时点</t>
        </is>
      </c>
      <c r="C1" s="1" t="inlineStr">
        <is>
          <t>t0股本(A)</t>
        </is>
      </c>
      <c r="D1" s="1" t="inlineStr">
        <is>
          <t>t1股本(B)</t>
        </is>
      </c>
      <c r="E1" s="1" t="inlineStr">
        <is>
          <t>认缴合计(C)</t>
        </is>
      </c>
      <c r="F1" s="1" t="inlineStr">
        <is>
          <t>理论值(A+C)</t>
        </is>
      </c>
      <c r="G1" s="1" t="inlineStr">
        <is>
          <t>实际值(B)</t>
        </is>
      </c>
      <c r="H1" s="1" t="inlineStr">
        <is>
          <t>差额</t>
        </is>
      </c>
      <c r="I1" s="1" t="inlineStr">
        <is>
          <t>差额率</t>
        </is>
      </c>
      <c r="J1" s="1" t="inlineStr">
        <is>
          <t>复核提示</t>
        </is>
      </c>
    </row>
    <row r="2">
      <c r="A2" s="2" t="inlineStr">
        <is>
          <t>总量核对</t>
        </is>
      </c>
      <c r="B2" s="2" t="inlineStr">
        <is>
          <t>t0→t0+</t>
        </is>
      </c>
      <c r="C2" s="2" t="n">
        <v>10950.2788</v>
      </c>
      <c r="D2" s="2" t="n">
        <v>12000</v>
      </c>
      <c r="E2" s="2" t="n">
        <v>0</v>
      </c>
      <c r="F2" s="2" t="n">
        <v>10950.2788</v>
      </c>
      <c r="G2" s="2" t="n">
        <v>12000</v>
      </c>
      <c r="H2" s="2" t="n">
        <v>1049.7212</v>
      </c>
      <c r="I2" s="2" t="inlineStr">
        <is>
          <t>8.75%</t>
        </is>
      </c>
      <c r="J2" s="2" t="inlineStr">
        <is>
          <t>❌ 差额较大，需核查是否有遗漏的增资/减资/股权转让</t>
        </is>
      </c>
    </row>
    <row r="3">
      <c r="A3" s="2" t="inlineStr">
        <is>
          <t>总量核对</t>
        </is>
      </c>
      <c r="B3" s="2" t="inlineStr">
        <is>
          <t>t0+→t1</t>
        </is>
      </c>
      <c r="C3" s="2" t="n">
        <v>12000</v>
      </c>
      <c r="D3" s="2" t="n">
        <v>13380</v>
      </c>
      <c r="E3" s="2" t="n">
        <v>0</v>
      </c>
      <c r="F3" s="2" t="n">
        <v>12000</v>
      </c>
      <c r="G3" s="2" t="n">
        <v>13380</v>
      </c>
      <c r="H3" s="2" t="n">
        <v>1380</v>
      </c>
      <c r="I3" s="2" t="inlineStr">
        <is>
          <t>10.31%</t>
        </is>
      </c>
      <c r="J3" s="2" t="inlineStr">
        <is>
          <t>❌ 差额较大，需核查是否有遗漏的增资/减资/股权转让</t>
        </is>
      </c>
    </row>
    <row r="4">
      <c r="A4" s="2" t="inlineStr">
        <is>
          <t>总量核对</t>
        </is>
      </c>
      <c r="B4" s="2" t="inlineStr">
        <is>
          <t>t1→t2</t>
        </is>
      </c>
      <c r="C4" s="2" t="n">
        <v>13380</v>
      </c>
      <c r="D4" s="2" t="n">
        <v>14480.1333</v>
      </c>
      <c r="E4" s="2" t="n">
        <v>0</v>
      </c>
      <c r="F4" s="2" t="n">
        <v>13380</v>
      </c>
      <c r="G4" s="2" t="n">
        <v>14480.1333</v>
      </c>
      <c r="H4" s="2" t="n">
        <v>1100.1333</v>
      </c>
      <c r="I4" s="2" t="inlineStr">
        <is>
          <t>7.60%</t>
        </is>
      </c>
      <c r="J4" s="2" t="inlineStr">
        <is>
          <t>❌ 差额较大，需核查是否有遗漏的增资/减资/股权转让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2026-06-11T06:42:32Z</dcterms:created>
  <dcterms:modified xmlns:dcterms="http://purl.org/dc/terms/" xmlns:xsi="http://www.w3.org/2001/XMLSchema-instance" xsi:type="dcterms:W3CDTF">2026-06-11T06:42:32Z</dcterms:modified>
</cp:coreProperties>
</file>